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shboard" sheetId="1" r:id="rId5"/>
    <sheet state="visible" name="Instructions" sheetId="2" r:id="rId6"/>
    <sheet state="visible" name="ADC (G)" sheetId="3" r:id="rId7"/>
    <sheet state="visible" name="ADC (RD)" sheetId="4" r:id="rId8"/>
    <sheet state="visible" name="ADC (UD)" sheetId="5" r:id="rId9"/>
    <sheet state="visible" name="ADC (J)" sheetId="6" r:id="rId10"/>
    <sheet state="visible" name="ADC (K)" sheetId="7" r:id="rId11"/>
    <sheet state="visible" name="CMFO" sheetId="8" r:id="rId12"/>
    <sheet state="visible" name="AC (G)" sheetId="9" r:id="rId13"/>
    <sheet state="visible" name="DRO" sheetId="10" r:id="rId14"/>
    <sheet state="visible" name="SDM Samrala" sheetId="11" r:id="rId15"/>
    <sheet state="visible" name="SDM Jagraon" sheetId="12" r:id="rId16"/>
    <sheet state="visible" name="SDM Payal" sheetId="13" r:id="rId17"/>
    <sheet state="visible" name="SDM East" sheetId="14" r:id="rId18"/>
    <sheet state="visible" name="SDM West" sheetId="15" r:id="rId19"/>
    <sheet state="visible" name="SDM Raikot" sheetId="16" r:id="rId20"/>
    <sheet state="visible" name="RTA" sheetId="17" r:id="rId21"/>
    <sheet state="visible" name="🔗 Data Connections" sheetId="18" r:id="rId22"/>
  </sheets>
  <definedNames>
    <definedName hidden="1" localSheetId="2" name="_xlnm._FilterDatabase">'ADC (G)'!$A$2:$P$127</definedName>
    <definedName hidden="1" localSheetId="3" name="_xlnm._FilterDatabase">'ADC (RD)'!$A$2:$P$91</definedName>
    <definedName hidden="1" localSheetId="4" name="_xlnm._FilterDatabase">'ADC (UD)'!$A$2:$P$12</definedName>
    <definedName hidden="1" localSheetId="5" name="_xlnm._FilterDatabase">'ADC (J)'!$A$2:$P$16</definedName>
    <definedName hidden="1" localSheetId="6" name="_xlnm._FilterDatabase">'ADC (K)'!$A$2:$P$15</definedName>
    <definedName hidden="1" localSheetId="7" name="_xlnm._FilterDatabase">CMFO!$A$2:$P$47</definedName>
    <definedName hidden="1" localSheetId="8" name="_xlnm._FilterDatabase">'AC (G)'!$A$2:$P$37</definedName>
    <definedName hidden="1" localSheetId="9" name="_xlnm._FilterDatabase">DRO!$A$2:$P$23</definedName>
    <definedName hidden="1" localSheetId="10" name="_xlnm._FilterDatabase">'SDM Samrala'!$A$2:$P$10</definedName>
    <definedName hidden="1" localSheetId="11" name="_xlnm._FilterDatabase">'SDM Jagraon'!$A$2:$P$9</definedName>
    <definedName hidden="1" localSheetId="12" name="_xlnm._FilterDatabase">'SDM Payal'!$A$2:$P$9</definedName>
    <definedName hidden="1" localSheetId="13" name="_xlnm._FilterDatabase">'SDM East'!$A$2:$P$12</definedName>
    <definedName hidden="1" localSheetId="14" name="_xlnm._FilterDatabase">'SDM West'!$A$2:$P$13</definedName>
    <definedName hidden="1" localSheetId="15" name="_xlnm._FilterDatabase">'SDM Raikot'!$A$2:$P$10</definedName>
    <definedName hidden="1" localSheetId="16" name="_xlnm._FilterDatabase">RTA!$A$2:$P$8</definedName>
  </definedNames>
  <calcPr/>
</workbook>
</file>

<file path=xl/sharedStrings.xml><?xml version="1.0" encoding="utf-8"?>
<sst xmlns="http://schemas.openxmlformats.org/spreadsheetml/2006/main" count="3425" uniqueCount="1273">
  <si>
    <t>MASTER DASHBOARD — DISTRICT PRIORITY AGENDA REVIEW, LUDHIANA</t>
  </si>
  <si>
    <t>Auto roll-up | Data as on 05-06-2026 | Cadence: every 3–4 days / before each weekly review</t>
  </si>
  <si>
    <t>⚙ Auto-Flag Threshold (× Flag-Bar for achievement rules):</t>
  </si>
  <si>
    <t>1.00 = flag anyone below the Flag-Bar; lower (e.g. 0.90) for stricter.</t>
  </si>
  <si>
    <t>#</t>
  </si>
  <si>
    <t>Officer / Tab</t>
  </si>
  <si>
    <t>Total KPIs</t>
  </si>
  <si>
    <t>Completed</t>
  </si>
  <si>
    <t>On Track</t>
  </si>
  <si>
    <t>In Progress</t>
  </si>
  <si>
    <t>Pending/Blocked</t>
  </si>
  <si>
    <t>Not Started</t>
  </si>
  <si>
    <t>% Done</t>
  </si>
  <si>
    <t>🔴 Flags</t>
  </si>
  <si>
    <t>ADC (G)</t>
  </si>
  <si>
    <t>ADC (RD)</t>
  </si>
  <si>
    <t>ADC (UD)</t>
  </si>
  <si>
    <t>ADC (J)</t>
  </si>
  <si>
    <t>ADC (K)</t>
  </si>
  <si>
    <t>CMFO</t>
  </si>
  <si>
    <t>AC (G)</t>
  </si>
  <si>
    <t>DRO</t>
  </si>
  <si>
    <t>SDM Samrala</t>
  </si>
  <si>
    <t>SDM Jagraon</t>
  </si>
  <si>
    <t>SDM Payal</t>
  </si>
  <si>
    <t>SDM East</t>
  </si>
  <si>
    <t>SDM West</t>
  </si>
  <si>
    <t>SDM Raikot</t>
  </si>
  <si>
    <t>RTA</t>
  </si>
  <si>
    <t>DISTRICT TOTAL</t>
  </si>
  <si>
    <t>WEEKLY MEETING FOCUS</t>
  </si>
  <si>
    <t>• Each officer tab shows SCHEMES (metrics) first, then PRIORITY TASKS — take highest 🔴 Flags + Pending first.</t>
  </si>
  <si>
    <t>• Each scheme opens with a 📊 SNAPSHOT band of headline totals.</t>
  </si>
  <si>
    <t>• Filter any tab's 'Auto-Flag' for 🔴 to list that officer's at-risk items.</t>
  </si>
  <si>
    <t>• Connect officer workbooks via the 'Data Connections' tab to make figures auto-refresh.</t>
  </si>
  <si>
    <t>OFFICE OF THE DEPUTY COMMISSIONER-CUM-DISTRICT MAGISTRATE, LUDHIANA</t>
  </si>
  <si>
    <t>MASTER PRIORITY AGENDA — REVIEW &amp; TRACKING (DC consolidated)</t>
  </si>
  <si>
    <t>Purpose</t>
  </si>
  <si>
    <t>DC's consolidated view of all priority agendas. Data is fed up from each officer's own workbook (see 'Data Connections' tab). The DC runs the weekly review from here + the Master Dashboard.</t>
  </si>
  <si>
    <t>Two-tier design</t>
  </si>
  <si>
    <t>Each officer maintains their OWN workbook (one tab per scheme + a Priority Tasks tab). Those cells link into this master via IMPORTRANGE. Update once in the officer workbook → flows up here.</t>
  </si>
  <si>
    <t>Each officer tab is split</t>
  </si>
  <si>
    <t>▣ SCHEMES (metric-based) — quantitative agendas with targets, shown FIRST under a blue banner.  ▣ PRIORITY TASKS (qualitative) — assigned tasks, shown BELOW under a gold banner.</t>
  </si>
  <si>
    <t>📊 SNAPSHOT band</t>
  </si>
  <si>
    <t>Each scheme opens with light-blue bold headline totals (e.g. Rangla P-I: Total/Started/In Progress/Completed/Not Started).</t>
  </si>
  <si>
    <t>Auto bottom-performer flag</t>
  </si>
  <si>
    <t>🔴 LOW (below Flag-Bar) / 🔴 HIGH (above pendency ceiling). Threshold on Master Dashboard B4. Manual override via 'Bottom Performer' column (Auto/Yes/No).</t>
  </si>
  <si>
    <t>Linking</t>
  </si>
  <si>
    <t>Until officer workbook URLs are pasted (Data Connections tab), the figures here are the 04–05 Jun headline values. After linking, Current/Status/Flag auto-refresh from each officer workbook.</t>
  </si>
  <si>
    <t>MLA Works</t>
  </si>
  <si>
    <t>MLA constituency works remain in the separate linked MLA Works List sheet (unchanged).</t>
  </si>
  <si>
    <t>ADC (G)   —   Priority Agenda Review   |   DC Ludhiana (MASTER)</t>
  </si>
  <si>
    <t>Sr</t>
  </si>
  <si>
    <t>Priority Agenda</t>
  </si>
  <si>
    <t>KPI / Metric</t>
  </si>
  <si>
    <t>Concerned Officer / Unit</t>
  </si>
  <si>
    <t>Target /
Total</t>
  </si>
  <si>
    <t>Flag
Bar</t>
  </si>
  <si>
    <t>Last
Value</t>
  </si>
  <si>
    <t>Current
Value</t>
  </si>
  <si>
    <t>Change</t>
  </si>
  <si>
    <t>Achieved
%</t>
  </si>
  <si>
    <t>Status</t>
  </si>
  <si>
    <t>Auto-Flag</t>
  </si>
  <si>
    <t>Bottom
Performer</t>
  </si>
  <si>
    <t>Updated By</t>
  </si>
  <si>
    <t>Update
Date</t>
  </si>
  <si>
    <t>Remarks / Context / Pending Action</t>
  </si>
  <si>
    <t>Rule</t>
  </si>
  <si>
    <t>Key</t>
  </si>
  <si>
    <t>▣  SCHEMES  —  metric-based (fed from officer workbook)</t>
  </si>
  <si>
    <t>MMSBY — Sehat Bima Yojna</t>
  </si>
  <si>
    <t>📊 Total cards made — cumulative 26 May–04 Jun</t>
  </si>
  <si>
    <t>District total across all ACs incl. not-mapped (5,917 dept-channel + 1,752 Sewa-Kendra).</t>
  </si>
  <si>
    <t>📊 Cards made today — 04 Jun</t>
  </si>
  <si>
    <t>All channels combined on 04 Jun (674 dept + 247 Sewa-Kendra).</t>
  </si>
  <si>
    <t>📊 Cards NOT mapped to any AC</t>
  </si>
  <si>
    <t>Generated but not yet linked to an Assembly Constituency — to be reassigned.</t>
  </si>
  <si>
    <t>📊 Nodals yet to fill Phase-18 sheet</t>
  </si>
  <si>
    <t>Sahnewal, Payal, Khanna, Dakha, Samrala, Atam Nagar.</t>
  </si>
  <si>
    <t>Total cards — 04 Jun (single day)</t>
  </si>
  <si>
    <t>cards</t>
  </si>
  <si>
    <t>Auto</t>
  </si>
  <si>
    <t>Gov Cell (report)</t>
  </si>
  <si>
    <t>05-06-2026</t>
  </si>
  <si>
    <t>674 dept + 247 SK</t>
  </si>
  <si>
    <t>ADCG-001</t>
  </si>
  <si>
    <t>Total cards — cumulative 26 May–04 Jun</t>
  </si>
  <si>
    <t>5917 dept + 1752 SK</t>
  </si>
  <si>
    <t>ADCG-002</t>
  </si>
  <si>
    <t>Channel — DM CSC (04 Jun)</t>
  </si>
  <si>
    <t>Prev day 832 — Cards generated via DM-CSC (Common Service Centre) channel that day.</t>
  </si>
  <si>
    <t>ADCG-003</t>
  </si>
  <si>
    <t>Channel — Dr Cooperation / PACS (04 Jun)</t>
  </si>
  <si>
    <t>Cards via Dr Cooperation / PACS societies that day.</t>
  </si>
  <si>
    <t>ADCG-004</t>
  </si>
  <si>
    <t>Channel — Agriculture Dept (04 Jun)</t>
  </si>
  <si>
    <t>Cards via Agriculture Dept that day.</t>
  </si>
  <si>
    <t>ADCG-005</t>
  </si>
  <si>
    <t>Channel — ASHA cards (04 Jun)</t>
  </si>
  <si>
    <t>Sharp drop since 08 May (was 3961 on 28 Apr) — Cards by ASHA workers that day.</t>
  </si>
  <si>
    <t>ADCG-006</t>
  </si>
  <si>
    <t>Channel — Hospital total (04 Jun)</t>
  </si>
  <si>
    <t>Govt 33 / Private 7 — Cards issued at hospitals that day (Govt + Private).</t>
  </si>
  <si>
    <t>ADCG-007</t>
  </si>
  <si>
    <t>Govt hospital cards (04 Jun)</t>
  </si>
  <si>
    <t>Issuance at govt facilities (DH/SDH/AAC) that day.</t>
  </si>
  <si>
    <t>ADCG-008</t>
  </si>
  <si>
    <t>Private hospital cards (04 Jun)</t>
  </si>
  <si>
    <t>Private penetration low — Private-hospital issuance that day — low penetration.</t>
  </si>
  <si>
    <t>MIN</t>
  </si>
  <si>
    <t>ADCG-009</t>
  </si>
  <si>
    <t>Not-Mapped cards (to reconcile)</t>
  </si>
  <si>
    <t>Cumulative not-mapped pool</t>
  </si>
  <si>
    <t>MAX</t>
  </si>
  <si>
    <t>ADCG-010</t>
  </si>
  <si>
    <t>Phase-18 sheet — nodals NOT filled</t>
  </si>
  <si>
    <t>nodals</t>
  </si>
  <si>
    <t>Sahnewal, Payal, Khanna, Dakha, Samrala, Atam Nagar</t>
  </si>
  <si>
    <t>ADCG-011</t>
  </si>
  <si>
    <t>Cards — Atam Nagar (04 Jun)</t>
  </si>
  <si>
    <t>25 cards + 0 SK — Total MMSBY cards in this AC on 04 Jun (incl. Sewa-Kendra).</t>
  </si>
  <si>
    <t>ADCG-012</t>
  </si>
  <si>
    <t>Cards — Dakha (04 Jun)</t>
  </si>
  <si>
    <t>21 cards + 0 SK — Total MMSBY cards in this AC on 04 Jun (incl. Sewa-Kendra).</t>
  </si>
  <si>
    <t>ADCG-013</t>
  </si>
  <si>
    <t>Cards — Gill (04 Jun)</t>
  </si>
  <si>
    <t>28 cards + 51 SK — Total MMSBY cards in this AC on 04 Jun (incl. Sewa-Kendra).</t>
  </si>
  <si>
    <t>ADCG-014</t>
  </si>
  <si>
    <t>Cards — Jagraon (04 Jun)</t>
  </si>
  <si>
    <t>68 cards + 49 SK — Total MMSBY cards in this AC on 04 Jun (incl. Sewa-Kendra).</t>
  </si>
  <si>
    <t>ADCG-015</t>
  </si>
  <si>
    <t>Cards — Khanna (04 Jun)</t>
  </si>
  <si>
    <t>36 cards + 0 SK — Total MMSBY cards in this AC on 04 Jun (incl. Sewa-Kendra).</t>
  </si>
  <si>
    <t>ADCG-016</t>
  </si>
  <si>
    <t>Cards — Ludhiana Central (04 Jun)</t>
  </si>
  <si>
    <t>53 cards + 36 SK — Total MMSBY cards in this AC on 04 Jun (incl. Sewa-Kendra).</t>
  </si>
  <si>
    <t>ADCG-017</t>
  </si>
  <si>
    <t>Cards — Ludhiana East (04 Jun)</t>
  </si>
  <si>
    <t>48 cards + 14 SK — Total MMSBY cards in this AC on 04 Jun (incl. Sewa-Kendra).</t>
  </si>
  <si>
    <t>ADCG-018</t>
  </si>
  <si>
    <t>Cards — Ludhiana North (04 Jun)</t>
  </si>
  <si>
    <t>19 cards + 3 SK — Total MMSBY cards in this AC on 04 Jun (incl. Sewa-Kendra).</t>
  </si>
  <si>
    <t>ADCG-019</t>
  </si>
  <si>
    <t>Cards — Ludhiana South (04 Jun)</t>
  </si>
  <si>
    <t>15 cards + 0 SK — Total MMSBY cards in this AC on 04 Jun (incl. Sewa-Kendra).</t>
  </si>
  <si>
    <t>ADCG-020</t>
  </si>
  <si>
    <t>Cards — Ludhiana West (04 Jun)</t>
  </si>
  <si>
    <t>60 cards + 1 SK — Total MMSBY cards in this AC on 04 Jun (incl. Sewa-Kendra).</t>
  </si>
  <si>
    <t>ADCG-021</t>
  </si>
  <si>
    <t>Cards — Payal (04 Jun)</t>
  </si>
  <si>
    <t>28 cards + 0 SK — Total MMSBY cards in this AC on 04 Jun (incl. Sewa-Kendra).</t>
  </si>
  <si>
    <t>ADCG-022</t>
  </si>
  <si>
    <t>Cards — Raikot (04 Jun)</t>
  </si>
  <si>
    <t>19 cards + 0 SK — Total MMSBY cards in this AC on 04 Jun (incl. Sewa-Kendra).</t>
  </si>
  <si>
    <t>ADCG-023</t>
  </si>
  <si>
    <t>Cards — Sahnewal (04 Jun)</t>
  </si>
  <si>
    <t>34 cards + 8 SK — Total MMSBY cards in this AC on 04 Jun (incl. Sewa-Kendra).</t>
  </si>
  <si>
    <t>ADCG-024</t>
  </si>
  <si>
    <t>Cards — Samrala (04 Jun)</t>
  </si>
  <si>
    <t>81 cards + 38 SK — Total MMSBY cards in this AC on 04 Jun (incl. Sewa-Kendra).</t>
  </si>
  <si>
    <t>ADCG-025</t>
  </si>
  <si>
    <t>AAC &amp; SDH (Aam Aadmi Clinics / SDH)</t>
  </si>
  <si>
    <t>📊 AAC Phase 8/9/10 — total sites</t>
  </si>
  <si>
    <t>Inaugurated 17 | Work in progress 30 | Problematic 1.</t>
  </si>
  <si>
    <t>📊 SHC→AAC Phase 11 — total sites</t>
  </si>
  <si>
    <t>Work orders given 28 | In re-tendering 4 (all PHSC). 8 each across IT/Mandi/Panch Raj/PHSC.</t>
  </si>
  <si>
    <t>AAC Ph 8/9/10 — inaugurated</t>
  </si>
  <si>
    <t>sites</t>
  </si>
  <si>
    <t>of 48 total</t>
  </si>
  <si>
    <t>ADCG-035</t>
  </si>
  <si>
    <t>AAC Ph 8/9/10 — work in progress</t>
  </si>
  <si>
    <t>ADCG-036</t>
  </si>
  <si>
    <t>AAC — at &gt;=95% completion</t>
  </si>
  <si>
    <t>ADCG-037</t>
  </si>
  <si>
    <t>AAC — at 90% completion</t>
  </si>
  <si>
    <t>ADCG-038</t>
  </si>
  <si>
    <t>AAC — at 80% completion</t>
  </si>
  <si>
    <t>ADCG-039</t>
  </si>
  <si>
    <t>AAC — at 70% completion</t>
  </si>
  <si>
    <t>ADCG-040</t>
  </si>
  <si>
    <t>AAC — at 60% completion</t>
  </si>
  <si>
    <t>ADCG-041</t>
  </si>
  <si>
    <t>AAC — problematic site</t>
  </si>
  <si>
    <t>ADCG-042</t>
  </si>
  <si>
    <t>SHC-&gt;AAC Ph 11 — work orders given</t>
  </si>
  <si>
    <t>IT 8 / Mandi 8 / Panch Raj 8 / PHSC 4</t>
  </si>
  <si>
    <t>ADCG-043</t>
  </si>
  <si>
    <t>SHC-&gt;AAC — in re-tendering</t>
  </si>
  <si>
    <t>All 4 at PHSC: 2 work orders pending at Chief PHSC, 2 cancelled by MD PHSC &amp; re-tendering. Threeke alt site — Sarpanch NOC awaited.</t>
  </si>
  <si>
    <t>ADCG-044</t>
  </si>
  <si>
    <t>Census 2026 — HLB Progress</t>
  </si>
  <si>
    <t>📊 Total HLBs (House Listing Blocks)</t>
  </si>
  <si>
    <t>All 3,778 in progress; 0 not started. Completed: 1,408 (37%).</t>
  </si>
  <si>
    <t>📊 Census houses — expected vs listed</t>
  </si>
  <si>
    <t>7,18,019 of 8,59,510 expected houses listed (84%).</t>
  </si>
  <si>
    <t>District — HLBs completed</t>
  </si>
  <si>
    <t>HLBs</t>
  </si>
  <si>
    <t>All 3778 in progress; 0 not started</t>
  </si>
  <si>
    <t>ADCG-045</t>
  </si>
  <si>
    <t>District — census houses listed</t>
  </si>
  <si>
    <t>houses</t>
  </si>
  <si>
    <t>84% against expected</t>
  </si>
  <si>
    <t>ADCG-046</t>
  </si>
  <si>
    <t>HLBs completed — Tehsil Samrala</t>
  </si>
  <si>
    <t>Houses 61,278/65,019 (94%)</t>
  </si>
  <si>
    <t>ADCG-047</t>
  </si>
  <si>
    <t>HLBs completed — Tehsil Khanna</t>
  </si>
  <si>
    <t>Houses 32,959/32,579 (101%)</t>
  </si>
  <si>
    <t>ADCG-048</t>
  </si>
  <si>
    <t>HLBs completed — Tehsil Payal</t>
  </si>
  <si>
    <t>Houses 57,331/64,602 (89%)</t>
  </si>
  <si>
    <t>ADCG-049</t>
  </si>
  <si>
    <t>HLBs completed — Tehsil Ludhiana East</t>
  </si>
  <si>
    <t>Houses 159,534/211,624 (75%)</t>
  </si>
  <si>
    <t>ADCG-050</t>
  </si>
  <si>
    <t>HLBs completed — Tehsil Ludhiana West</t>
  </si>
  <si>
    <t>Houses 133,747/189,633 (71%)</t>
  </si>
  <si>
    <t>ADCG-051</t>
  </si>
  <si>
    <t>HLBs completed — Tehsil Raikot</t>
  </si>
  <si>
    <t>Houses 56,132/60,791 (92%)</t>
  </si>
  <si>
    <t>ADCG-052</t>
  </si>
  <si>
    <t>HLBs completed — Tehsil Jagraon</t>
  </si>
  <si>
    <t>Houses 91,305/96,859 (94%)</t>
  </si>
  <si>
    <t>ADCG-053</t>
  </si>
  <si>
    <t>HLBs completed — MC Macchhiwara</t>
  </si>
  <si>
    <t>Houses 11,625/12,156 (96%)</t>
  </si>
  <si>
    <t>ADCG-054</t>
  </si>
  <si>
    <t>HLBs completed — MC Samrala</t>
  </si>
  <si>
    <t>Houses 9,706/9,628 (101%)</t>
  </si>
  <si>
    <t>ADCG-055</t>
  </si>
  <si>
    <t>HLBs completed — MC Khanna</t>
  </si>
  <si>
    <t>Houses 37,058/43,958 (84%)</t>
  </si>
  <si>
    <t>ADCG-056</t>
  </si>
  <si>
    <t>HLBs completed — MC Payal</t>
  </si>
  <si>
    <t>Houses 2,867/2,959 (97%)</t>
  </si>
  <si>
    <t>ADCG-057</t>
  </si>
  <si>
    <t>HLBs completed — MC Maloud</t>
  </si>
  <si>
    <t>Houses 2,942/3,413 (86%)</t>
  </si>
  <si>
    <t>ADCG-058</t>
  </si>
  <si>
    <t>HLBs completed — MC Doraha</t>
  </si>
  <si>
    <t>Houses 9,840/9,835 (100%)</t>
  </si>
  <si>
    <t>ADCG-059</t>
  </si>
  <si>
    <t>HLBs completed — MC Sahnewal</t>
  </si>
  <si>
    <t>Houses 10,360/11,226 (92%)</t>
  </si>
  <si>
    <t>ADCG-060</t>
  </si>
  <si>
    <t>HLBs completed — MC Mullanpur Dakha</t>
  </si>
  <si>
    <t>Houses 8,503/8,273 (103%)</t>
  </si>
  <si>
    <t>ADCG-061</t>
  </si>
  <si>
    <t>HLBs completed — MC Raikot</t>
  </si>
  <si>
    <t>Houses 12,701/12,838 (99%)</t>
  </si>
  <si>
    <t>ADCG-062</t>
  </si>
  <si>
    <t>HLBs completed — MC Jagraon</t>
  </si>
  <si>
    <t>Houses 20,131/24,117 (83%)</t>
  </si>
  <si>
    <t>ADCG-063</t>
  </si>
  <si>
    <t>SIR — Electors Mapped (AC-wise)</t>
  </si>
  <si>
    <t>📊 Total electors (district)</t>
  </si>
  <si>
    <t>Mapped 20,21,328 (75.26%) | Not mapped 6,64,587. 8 ACs below the 75% bar.</t>
  </si>
  <si>
    <t>57-Khanna — electors mapped</t>
  </si>
  <si>
    <t>electors</t>
  </si>
  <si>
    <t>Not mapped 40,109 (77.0%) — Electors mapped of total in this AC; bar = 75% of total electors.</t>
  </si>
  <si>
    <t>ADCG-064</t>
  </si>
  <si>
    <t>58-Samrala — electors mapped</t>
  </si>
  <si>
    <t>Not mapped 21,866 (87.6%) — Electors mapped of total in this AC; bar = 75% of total electors.</t>
  </si>
  <si>
    <t>ADCG-065</t>
  </si>
  <si>
    <t>59-Sahnewal — electors mapped</t>
  </si>
  <si>
    <t>Not mapped 80,271 (70.7%) — Electors mapped of total in this AC; bar = 75% of total electors.</t>
  </si>
  <si>
    <t>ADCG-066</t>
  </si>
  <si>
    <t>60-Ludhiana East — electors mapped</t>
  </si>
  <si>
    <t>Not mapped 72,512 (68.3%) — Electors mapped of total in this AC; bar = 75% of total electors.</t>
  </si>
  <si>
    <t>ADCG-067</t>
  </si>
  <si>
    <t>61-Ludhiana South — electors mapped</t>
  </si>
  <si>
    <t>Not mapped 74,107 (59.6%) — Electors mapped of total in this AC; bar = 75% of total electors.</t>
  </si>
  <si>
    <t>ADCG-068</t>
  </si>
  <si>
    <t>62-Atam Nagar — electors mapped</t>
  </si>
  <si>
    <t>Not mapped 53,876 (66.5%) — Electors mapped of total in this AC; bar = 75% of total electors.</t>
  </si>
  <si>
    <t>ADCG-069</t>
  </si>
  <si>
    <t>63-Ludhiana Central — electors mapped</t>
  </si>
  <si>
    <t>Not mapped 46,000 (69.3%) — Electors mapped of total in this AC; bar = 75% of total electors.</t>
  </si>
  <si>
    <t>ADCG-070</t>
  </si>
  <si>
    <t>64-Ludhiana West — electors mapped</t>
  </si>
  <si>
    <t>Not mapped 57,194 (66.3%) — Electors mapped of total in this AC; bar = 75% of total electors.</t>
  </si>
  <si>
    <t>ADCG-071</t>
  </si>
  <si>
    <t>65-Ludhiana North — electors mapped</t>
  </si>
  <si>
    <t>Not mapped 60,708 (70.1%) — Electors mapped of total in this AC; bar = 75% of total electors.</t>
  </si>
  <si>
    <t>ADCG-072</t>
  </si>
  <si>
    <t>66-Gill — electors mapped</t>
  </si>
  <si>
    <t>Not mapped 71,821 (74.8%) — Electors mapped of total in this AC; bar = 75% of total electors.</t>
  </si>
  <si>
    <t>ADCG-073</t>
  </si>
  <si>
    <t>67-Payal — electors mapped</t>
  </si>
  <si>
    <t>Not mapped 18,869 (88.7%) — Electors mapped of total in this AC; bar = 75% of total electors.</t>
  </si>
  <si>
    <t>ADCG-074</t>
  </si>
  <si>
    <t>68-Dakha — electors mapped</t>
  </si>
  <si>
    <t>Not mapped 23,281 (87.4%) — Electors mapped of total in this AC; bar = 75% of total electors.</t>
  </si>
  <si>
    <t>ADCG-075</t>
  </si>
  <si>
    <t>69-Raikot — electors mapped</t>
  </si>
  <si>
    <t>Not mapped 15,102 (89.8%) — Electors mapped of total in this AC; bar = 75% of total electors.</t>
  </si>
  <si>
    <t>ADCG-076</t>
  </si>
  <si>
    <t>70-Jagraon — electors mapped</t>
  </si>
  <si>
    <t>Not mapped 28,871 (84.2%) — Electors mapped of total in this AC; bar = 75% of total electors.</t>
  </si>
  <si>
    <t>ADCG-077</t>
  </si>
  <si>
    <t>District — electors mapped</t>
  </si>
  <si>
    <t>Not mapped 664,587 (75.26%) — Electors mapped of total in this AC; bar = 75% of total electors.</t>
  </si>
  <si>
    <t>ADCG-078</t>
  </si>
  <si>
    <t>SIR — EFDIATRIBUTED (AC-wise)</t>
  </si>
  <si>
    <t>Stubble Burning</t>
  </si>
  <si>
    <t>📊 Environmental Compensation cases</t>
  </si>
  <si>
    <t>EC imposed Rs 4,90,000 | Red entries 67 | FIRs 1 | Field visits pending 108.</t>
  </si>
  <si>
    <t>Environmental Compensation — cases</t>
  </si>
  <si>
    <t>cases</t>
  </si>
  <si>
    <t>Total EC imposed Rs 4,90,000</t>
  </si>
  <si>
    <t>ADCG-094</t>
  </si>
  <si>
    <t>Red entries (as on 17.05)</t>
  </si>
  <si>
    <t>entries</t>
  </si>
  <si>
    <t>Raikot &amp; Jagraon flagged</t>
  </si>
  <si>
    <t>ADCG-095</t>
  </si>
  <si>
    <t>FIRs filed</t>
  </si>
  <si>
    <t>FIRs</t>
  </si>
  <si>
    <t>ADCG-096</t>
  </si>
  <si>
    <t>Visits pending (of incidents)</t>
  </si>
  <si>
    <t>visits</t>
  </si>
  <si>
    <t>ADCG-097</t>
  </si>
  <si>
    <t>Revenue — Uncontested Mutation Pendency</t>
  </si>
  <si>
    <t>📊 Highest pendency officer</t>
  </si>
  <si>
    <t>NT Ludhiana East (653) is the single highest in the district. Target: keep each below 200.</t>
  </si>
  <si>
    <t>Mutations pending — NT Ludhiana East</t>
  </si>
  <si>
    <t>Uncontested mutations pending with this officer; Change = movement since last review.</t>
  </si>
  <si>
    <t>ADCG-100</t>
  </si>
  <si>
    <t>Mutations pending — NT Ludhiana West</t>
  </si>
  <si>
    <t>ADCG-101</t>
  </si>
  <si>
    <t>Mutations pending — T Ludhiana West</t>
  </si>
  <si>
    <t>ADCG-102</t>
  </si>
  <si>
    <t>Mutations pending — NT Ludhiana South</t>
  </si>
  <si>
    <t>ADCG-103</t>
  </si>
  <si>
    <t>Mutations pending — T Raikot</t>
  </si>
  <si>
    <t>Sharp rise +118 — immediate attention — Uncontested mutations pending with this officer; Change = movement since last review.</t>
  </si>
  <si>
    <t>ADCG-104</t>
  </si>
  <si>
    <t>Mutations pending — T Ludhiana South</t>
  </si>
  <si>
    <t>ADCG-105</t>
  </si>
  <si>
    <t>Mutations pending — NT Sidhwan Bet</t>
  </si>
  <si>
    <t>ADCG-106</t>
  </si>
  <si>
    <t>Mutations pending — NT-2 Sahnewal</t>
  </si>
  <si>
    <t>ADCG-107</t>
  </si>
  <si>
    <t>Mutations pending — NT Raikot</t>
  </si>
  <si>
    <t>ADCG-108</t>
  </si>
  <si>
    <t>Mutations pending — NT Koom Kalan</t>
  </si>
  <si>
    <t>ADCG-109</t>
  </si>
  <si>
    <t>Revenue — Family Partition &amp; Svamitva GT</t>
  </si>
  <si>
    <t>Family Partition — pending (district)</t>
  </si>
  <si>
    <t>Total 16: appr 3, rej 2; Samrala 6, Maloud 4, Jagraon 2; 8 tehsils NIL</t>
  </si>
  <si>
    <t>ADCG-110</t>
  </si>
  <si>
    <t>Svamitva GT pending — T Ludhiana West</t>
  </si>
  <si>
    <t>ADCG-111</t>
  </si>
  <si>
    <t>Svamitva GT pending — NT Koom Kalan</t>
  </si>
  <si>
    <t>No change</t>
  </si>
  <si>
    <t>ADCG-112</t>
  </si>
  <si>
    <t>Svamitva GT — tehsils with no change ~1.5 months</t>
  </si>
  <si>
    <t>tehsils</t>
  </si>
  <si>
    <t>Central, Dehlon, Mullanpur Dakha, Maloud</t>
  </si>
  <si>
    <t>ADCG-113</t>
  </si>
  <si>
    <t>▣  PRIORITY TASKS  —  qualitative / assigned tasks</t>
  </si>
  <si>
    <t>PSTC — Supervision (owned by AC-G)</t>
  </si>
  <si>
    <t>Overall resolution % (monitor AC-G)</t>
  </si>
  <si>
    <t>%</t>
  </si>
  <si>
    <t>Execution owned by AC(G). 147 of 233 grievances resolved (63%). See AC(G) workbook → PSTC tab.</t>
  </si>
  <si>
    <t>ADCG-026</t>
  </si>
  <si>
    <t>Bottom departments to escalate</t>
  </si>
  <si>
    <t>status</t>
  </si>
  <si>
    <t>Rural Dev &amp; Panchayat 24%, PWD 0%, Revenue 0%, Electricity 63% — pursue via AC(G).</t>
  </si>
  <si>
    <t>ADCG-027</t>
  </si>
  <si>
    <t>Stale grievances (4+ days) — monitor</t>
  </si>
  <si>
    <t>no.</t>
  </si>
  <si>
    <t>Track weekly through AC(G) feed; ensure ATRs filed.</t>
  </si>
  <si>
    <t>ADCG-028</t>
  </si>
  <si>
    <t>Desilting Sites — NGT / Meowal / Mandala</t>
  </si>
  <si>
    <t>NGT court case — next hearing date</t>
  </si>
  <si>
    <t>date</t>
  </si>
  <si>
    <t>Tender done; Forest DFO NOC pending; non-forest not started</t>
  </si>
  <si>
    <t>ADCG-029</t>
  </si>
  <si>
    <t>Forest DFO NOC received? (Y/N)</t>
  </si>
  <si>
    <t>Y/N</t>
  </si>
  <si>
    <t>Update pending</t>
  </si>
  <si>
    <t>ADCG-030</t>
  </si>
  <si>
    <t>Drainage proceeds sent to HQ (DRA)? (Y/N)</t>
  </si>
  <si>
    <t>Flood Review minutes pending</t>
  </si>
  <si>
    <t>ADCG-031</t>
  </si>
  <si>
    <t>Flood Protection &amp; Embankments</t>
  </si>
  <si>
    <t>Sasrali Geotubes installed</t>
  </si>
  <si>
    <t>tubes</t>
  </si>
  <si>
    <t>35% work; 12 tippers running; work closed 23.05 by XEN Mining</t>
  </si>
  <si>
    <t>ADCG-032</t>
  </si>
  <si>
    <t>Rahon Road — pole shifting pending (mtrs)</t>
  </si>
  <si>
    <t>mtrs</t>
  </si>
  <si>
    <t>3 km done; 4 underpasses done</t>
  </si>
  <si>
    <t>ADCG-033</t>
  </si>
  <si>
    <t>Flood Control Room operational? (Y/N)</t>
  </si>
  <si>
    <t>From 11 May</t>
  </si>
  <si>
    <t>ADCG-034</t>
  </si>
  <si>
    <t>Flood Compensation — Survey &amp; Disbursal</t>
  </si>
  <si>
    <t>Cases verified &amp; disbursed</t>
  </si>
  <si>
    <t>SDM East / XEN Adesh — notice; DMA suspension query</t>
  </si>
  <si>
    <t>ADCG-098</t>
  </si>
  <si>
    <t>Flood compensation lock — status</t>
  </si>
  <si>
    <t>Confirm status</t>
  </si>
  <si>
    <t>ADCG-099</t>
  </si>
  <si>
    <t>DDMA</t>
  </si>
  <si>
    <t>DDMA — pending actions</t>
  </si>
  <si>
    <t>To be populated</t>
  </si>
  <si>
    <t>ADCG-114</t>
  </si>
  <si>
    <t>ADC (RD)   —   Priority Agenda Review   |   DC Ludhiana (MASTER)</t>
  </si>
  <si>
    <t>Mavan Dhiyan Satikar Yojana (MMMDSY)</t>
  </si>
  <si>
    <t>📊 Mahila Satkar Sakhis registered</t>
  </si>
  <si>
    <t>of 25,556 target (56.92%, was 55.29%). Remaining 11,008.</t>
  </si>
  <si>
    <t>📊 Anganwadi readiness</t>
  </si>
  <si>
    <t>Paint 72.8% | Furniture 100%</t>
  </si>
  <si>
    <t>Paintwork 1,810/2,487; chairs/tables/printing 100%. Nodals: BDPO 6/12, MCL 2/14.</t>
  </si>
  <si>
    <t>Mahila Satkar Sakhis — registered</t>
  </si>
  <si>
    <t>sakhis</t>
  </si>
  <si>
    <t>Remaining 11,008 | 56.92% (was 55.29%)</t>
  </si>
  <si>
    <t>ADCRD-001</t>
  </si>
  <si>
    <t>Anganwadi Centres — paintwork done</t>
  </si>
  <si>
    <t>centres</t>
  </si>
  <si>
    <t>Remaining 677 | 72.77% (was 71.4%)</t>
  </si>
  <si>
    <t>ADCRD-002</t>
  </si>
  <si>
    <t>Anganwadi Centres — chairs supplied</t>
  </si>
  <si>
    <t>100%</t>
  </si>
  <si>
    <t>ADCRD-003</t>
  </si>
  <si>
    <t>Anganwadi Centres — tables supplied</t>
  </si>
  <si>
    <t>ADCRD-004</t>
  </si>
  <si>
    <t>Anganwadi Centres — printing material</t>
  </si>
  <si>
    <t>ADCRD-005</t>
  </si>
  <si>
    <t>BDPO Nodals appointed</t>
  </si>
  <si>
    <t>50% (was 0%)</t>
  </si>
  <si>
    <t>ADCRD-006</t>
  </si>
  <si>
    <t>MCL Nodals appointed</t>
  </si>
  <si>
    <t>14.2% — stalled</t>
  </si>
  <si>
    <t>ADCRD-007</t>
  </si>
  <si>
    <t>Rangla Punjab — Phase I</t>
  </si>
  <si>
    <t>📊 Total works proposed</t>
  </si>
  <si>
    <t>District total, Phase I. Sanctioned amount Rs 34.99 Cr.</t>
  </si>
  <si>
    <t>📊 Works started</t>
  </si>
  <si>
    <t>431 of 433 started (Total − Not started).</t>
  </si>
  <si>
    <t>📊 Works in progress</t>
  </si>
  <si>
    <t>Currently under execution.</t>
  </si>
  <si>
    <t>📊 Works completed</t>
  </si>
  <si>
    <t>Physically complete.</t>
  </si>
  <si>
    <t>📊 Works NOT started</t>
  </si>
  <si>
    <t>DD Animal Husbandry (1) + XEN Prov. Divn B&amp;R (1).</t>
  </si>
  <si>
    <t>Phase I — works completed (district)</t>
  </si>
  <si>
    <t>works</t>
  </si>
  <si>
    <t>326 in progress; 2 not started</t>
  </si>
  <si>
    <t>ADCRD-008</t>
  </si>
  <si>
    <t>P-I completed — BDPO Doraha</t>
  </si>
  <si>
    <t>of 34 proposed — Phase-I works physically completed by this agency of its proposed total.</t>
  </si>
  <si>
    <t>ADCRD-009</t>
  </si>
  <si>
    <t>P-I completed — BDPO Jagraon</t>
  </si>
  <si>
    <t>of 42 proposed — Phase-I works physically completed by this agency of its proposed total.</t>
  </si>
  <si>
    <t>ADCRD-010</t>
  </si>
  <si>
    <t>P-I completed — BDPO Khanna</t>
  </si>
  <si>
    <t>of 26 proposed — Phase-I works physically completed by this agency of its proposed total.</t>
  </si>
  <si>
    <t>ADCRD-011</t>
  </si>
  <si>
    <t>P-I completed — BDPO Ludhiana One</t>
  </si>
  <si>
    <t>of 76 proposed — Phase-I works physically completed by this agency of its proposed total.</t>
  </si>
  <si>
    <t>ADCRD-012</t>
  </si>
  <si>
    <t>P-I completed — BDPO Ludhiana Two</t>
  </si>
  <si>
    <t>of 48 proposed — Phase-I works physically completed by this agency of its proposed total.</t>
  </si>
  <si>
    <t>ADCRD-013</t>
  </si>
  <si>
    <t>P-I completed — BDPO Maloud</t>
  </si>
  <si>
    <t>of 33 proposed — Phase-I works physically completed by this agency of its proposed total.</t>
  </si>
  <si>
    <t>ADCRD-014</t>
  </si>
  <si>
    <t>P-I completed — BDPO Raikot</t>
  </si>
  <si>
    <t>of 21 proposed — Phase-I works physically completed by this agency of its proposed total.</t>
  </si>
  <si>
    <t>ADCRD-015</t>
  </si>
  <si>
    <t>P-I completed — BDPO Samrala</t>
  </si>
  <si>
    <t>ADCRD-016</t>
  </si>
  <si>
    <t>P-I completed — BDPO Sidhwan Bet</t>
  </si>
  <si>
    <t>of 24 proposed — Phase-I works physically completed by this agency of its proposed total.</t>
  </si>
  <si>
    <t>ADCRD-017</t>
  </si>
  <si>
    <t>P-I completed — BDPO Sudhar</t>
  </si>
  <si>
    <t>of 27 proposed — Phase-I works physically completed by this agency of its proposed total.</t>
  </si>
  <si>
    <t>ADCRD-018</t>
  </si>
  <si>
    <t>P-I completed — BDPO Pakhowal</t>
  </si>
  <si>
    <t>of 13 proposed — Phase-I works physically completed by this agency of its proposed total.</t>
  </si>
  <si>
    <t>ADCRD-019</t>
  </si>
  <si>
    <t>P-I completed — MCL</t>
  </si>
  <si>
    <t>of 39 proposed — Phase-I works physically completed by this agency of its proposed total.</t>
  </si>
  <si>
    <t>ADCRD-020</t>
  </si>
  <si>
    <t>Rangla Punjab — Phase II</t>
  </si>
  <si>
    <t>District total, Phase II. Sanctioned amount Rs 31.79 Cr.</t>
  </si>
  <si>
    <t>90 of 400 started (Total − Not started).</t>
  </si>
  <si>
    <t>All to begin by 5 June. Largest: MCL 73, Jagraon 43, Dehlon 30, Khanna 28.</t>
  </si>
  <si>
    <t>Phase II — works completed (district)</t>
  </si>
  <si>
    <t>79 in progress; 310 NOT started</t>
  </si>
  <si>
    <t>ADCRD-021</t>
  </si>
  <si>
    <t>Phase II — works NOT started (district)</t>
  </si>
  <si>
    <t>To start by 5 Jun</t>
  </si>
  <si>
    <t>ADCRD-022</t>
  </si>
  <si>
    <t>P-II not started — MCL</t>
  </si>
  <si>
    <t>of 73 proposed — Phase-II works not yet started by this agency of its proposed total.</t>
  </si>
  <si>
    <t>ADCRD-023</t>
  </si>
  <si>
    <t>P-II not started — BDPO Jagraon</t>
  </si>
  <si>
    <t>of 44 proposed — Phase-II works not yet started by this agency of its proposed total.</t>
  </si>
  <si>
    <t>ADCRD-024</t>
  </si>
  <si>
    <t>P-II not started — BDPO Khanna</t>
  </si>
  <si>
    <t>of 28 proposed — Phase-II works not yet started by this agency of its proposed total.</t>
  </si>
  <si>
    <t>ADCRD-025</t>
  </si>
  <si>
    <t>P-II not started — BDPO Dehlon</t>
  </si>
  <si>
    <t>of 30 proposed — Phase-II works not yet started by this agency of its proposed total.</t>
  </si>
  <si>
    <t>ADCRD-026</t>
  </si>
  <si>
    <t>P-II not started — BDPO Ludhiana One</t>
  </si>
  <si>
    <t>of 21 proposed — Phase-II works not yet started by this agency of its proposed total.</t>
  </si>
  <si>
    <t>ADCRD-027</t>
  </si>
  <si>
    <t>P-II not started — BDPO Doraha</t>
  </si>
  <si>
    <t>of 43 proposed — Phase-II works not yet started by this agency of its proposed total.</t>
  </si>
  <si>
    <t>ADCRD-028</t>
  </si>
  <si>
    <t>P-II not started — BDPO Samrala</t>
  </si>
  <si>
    <t>of 19 proposed — Phase-II works not yet started by this agency of its proposed total.</t>
  </si>
  <si>
    <t>ADCRD-029</t>
  </si>
  <si>
    <t>P-II not started — BDPO Maloud</t>
  </si>
  <si>
    <t>ADCRD-030</t>
  </si>
  <si>
    <t>P-II not started — BDPO Ludhiana Two</t>
  </si>
  <si>
    <t>of 48 proposed — Phase-II works not yet started by this agency of its proposed total.</t>
  </si>
  <si>
    <t>ADCRD-031</t>
  </si>
  <si>
    <t>P-II not started — BDPO Machhiwara</t>
  </si>
  <si>
    <t>of 33 proposed — Phase-II works not yet started by this agency of its proposed total.</t>
  </si>
  <si>
    <t>ADCRD-032</t>
  </si>
  <si>
    <t>P-II not started — EONC Khanna</t>
  </si>
  <si>
    <t>of 3 proposed — Phase-II works not yet started by this agency of its proposed total.</t>
  </si>
  <si>
    <t>ADCRD-033</t>
  </si>
  <si>
    <t>P-II not started — EONC Raikot</t>
  </si>
  <si>
    <t>of 7 proposed — Phase-II works not yet started by this agency of its proposed total.</t>
  </si>
  <si>
    <t>ADCRD-034</t>
  </si>
  <si>
    <t>Mission Chardi Kalan</t>
  </si>
  <si>
    <t>📊 Schools</t>
  </si>
  <si>
    <t>9 proj | tender 9 | started 9 | done 0</t>
  </si>
  <si>
    <t>Civil structure almost complete; UC &amp; post-work photos pending from DEO.</t>
  </si>
  <si>
    <t>📊 Hospitals</t>
  </si>
  <si>
    <t>6 proj | tender 4 | started 0 | done 0</t>
  </si>
  <si>
    <t>2 tenders pending; 2 file-approved on portal; 2 estimates pending from XEN. PWD Kanech tender pending.</t>
  </si>
  <si>
    <t>Schools — tender done</t>
  </si>
  <si>
    <t>proj</t>
  </si>
  <si>
    <t>9 projects; work started 9</t>
  </si>
  <si>
    <t>ADCRD-035</t>
  </si>
  <si>
    <t>Schools — work completed</t>
  </si>
  <si>
    <t>UC submitted 0; civil almost done</t>
  </si>
  <si>
    <t>ADCRD-036</t>
  </si>
  <si>
    <t>Hospitals — tender done</t>
  </si>
  <si>
    <t>6 projects</t>
  </si>
  <si>
    <t>ADCRD-037</t>
  </si>
  <si>
    <t>Hospitals — work started</t>
  </si>
  <si>
    <t>PWD Kanech tender pending</t>
  </si>
  <si>
    <t>ADCRD-038</t>
  </si>
  <si>
    <t>Meri Yogyata Meri Pehchan</t>
  </si>
  <si>
    <t>Applications received</t>
  </si>
  <si>
    <t>apps</t>
  </si>
  <si>
    <t>291 name boards ready for installation</t>
  </si>
  <si>
    <t>ADCRD-040</t>
  </si>
  <si>
    <t>Installations done</t>
  </si>
  <si>
    <t>Pilot village planned; Rs8L budget</t>
  </si>
  <si>
    <t>ADCRD-041</t>
  </si>
  <si>
    <t>Dengue &amp; Vector Borne Disease</t>
  </si>
  <si>
    <t>📊 Houses visited (district)</t>
  </si>
  <si>
    <t>Containers checked 66,456 | Positive 13 | Breeding-in-houses 11 | Challans 15 | Camps 206.</t>
  </si>
  <si>
    <t>Houses visited (district)</t>
  </si>
  <si>
    <t>Block-wise survey</t>
  </si>
  <si>
    <t>ADCRD-042</t>
  </si>
  <si>
    <t>Containers checked</t>
  </si>
  <si>
    <t>ADCRD-043</t>
  </si>
  <si>
    <t>Positive containers</t>
  </si>
  <si>
    <t>ADCRD-044</t>
  </si>
  <si>
    <t>Breeding found in houses</t>
  </si>
  <si>
    <t>ADCRD-045</t>
  </si>
  <si>
    <t>Challans issued (health)</t>
  </si>
  <si>
    <t>ADCRD-046</t>
  </si>
  <si>
    <t>Camps organised</t>
  </si>
  <si>
    <t>ADCRD-047</t>
  </si>
  <si>
    <t>Block: Raikot — houses visited</t>
  </si>
  <si>
    <t>Zero activity — flag</t>
  </si>
  <si>
    <t>ADCRD-048</t>
  </si>
  <si>
    <t>Block: Khanna — houses visited</t>
  </si>
  <si>
    <t>ADCRD-049</t>
  </si>
  <si>
    <t>Block: Dehlon — houses visited</t>
  </si>
  <si>
    <t>ADCRD-050</t>
  </si>
  <si>
    <t>Medicine stock adequate? (Y/N)</t>
  </si>
  <si>
    <t>SDP kit demand raised to Director MOHFW</t>
  </si>
  <si>
    <t>ADCRD-051</t>
  </si>
  <si>
    <t>Parks, Playgrounds &amp; Anganwadis</t>
  </si>
  <si>
    <t>Anganwadi Centres — completed</t>
  </si>
  <si>
    <t>ADCRD-052</t>
  </si>
  <si>
    <t>Playgrounds Phase 2 — ready for inauguration</t>
  </si>
  <si>
    <t>grounds</t>
  </si>
  <si>
    <t>Phase-1: 8 handed over 04.05</t>
  </si>
  <si>
    <t>ADCRD-053</t>
  </si>
  <si>
    <t>Parks Phase 2 (of 100) initiated? (Y/N)</t>
  </si>
  <si>
    <t>JC Vineet Rs5 Cr proposal</t>
  </si>
  <si>
    <t>ADCRD-054</t>
  </si>
  <si>
    <t>Socio-Economic Drug Census</t>
  </si>
  <si>
    <t>📊 Survey completed (district)</t>
  </si>
  <si>
    <t>of 7,31,750 target (9.9%). Active supervisors 137; enumerators 998.</t>
  </si>
  <si>
    <t>Survey — completed (district)</t>
  </si>
  <si>
    <t>9.9% | active supervisors 137; enumerators 998</t>
  </si>
  <si>
    <t>ADCRD-057</t>
  </si>
  <si>
    <t>Survey completed — Jagraon</t>
  </si>
  <si>
    <t>7.0% of 48,500 — Drug-census houses surveyed of this assembly's target.</t>
  </si>
  <si>
    <t>ADCRD-058</t>
  </si>
  <si>
    <t>Survey completed — Dakha</t>
  </si>
  <si>
    <t>22.8% of 54,250 — Drug-census houses surveyed of this assembly's target.</t>
  </si>
  <si>
    <t>ADCRD-059</t>
  </si>
  <si>
    <t>Survey completed — Raikot</t>
  </si>
  <si>
    <t>24.9% of 47,000 — Drug-census houses surveyed of this assembly's target.</t>
  </si>
  <si>
    <t>ADCRD-060</t>
  </si>
  <si>
    <t>Survey completed — Gill</t>
  </si>
  <si>
    <t>18.3% of 74,500 — Drug-census houses surveyed of this assembly's target.</t>
  </si>
  <si>
    <t>ADCRD-061</t>
  </si>
  <si>
    <t>Survey completed — Ldh-East</t>
  </si>
  <si>
    <t>1.3% of 55,500 — Drug-census houses surveyed of this assembly's target.</t>
  </si>
  <si>
    <t>ADCRD-062</t>
  </si>
  <si>
    <t>Survey completed — Sahnewal</t>
  </si>
  <si>
    <t>3.5% of 69,750 — Drug-census houses surveyed of this assembly's target.</t>
  </si>
  <si>
    <t>ADCRD-063</t>
  </si>
  <si>
    <t>Survey completed — Samrala</t>
  </si>
  <si>
    <t>8.6% of 54,500 — Drug-census houses surveyed of this assembly's target.</t>
  </si>
  <si>
    <t>ADCRD-064</t>
  </si>
  <si>
    <t>Survey completed — Khanna</t>
  </si>
  <si>
    <t>9.2% of 48,000 — Drug-census houses surveyed of this assembly's target.</t>
  </si>
  <si>
    <t>ADCRD-065</t>
  </si>
  <si>
    <t>Survey completed — Payal</t>
  </si>
  <si>
    <t>27.0% of 51,750 — Drug-census houses surveyed of this assembly's target.</t>
  </si>
  <si>
    <t>ADCRD-066</t>
  </si>
  <si>
    <t>Survey completed — Ldh-South</t>
  </si>
  <si>
    <t>0.5% of 43,500 — Drug-census houses surveyed of this assembly's target.</t>
  </si>
  <si>
    <t>ADCRD-067</t>
  </si>
  <si>
    <t>Survey completed — Ldh-Central</t>
  </si>
  <si>
    <t>1.0% of 44,500 — Drug-census houses surveyed of this assembly's target.</t>
  </si>
  <si>
    <t>ADCRD-068</t>
  </si>
  <si>
    <t>Survey completed — Ldh-West</t>
  </si>
  <si>
    <t>0.6% of 48,000 — Drug-census houses surveyed of this assembly's target.</t>
  </si>
  <si>
    <t>ADCRD-069</t>
  </si>
  <si>
    <t>Survey completed — Ldh-North</t>
  </si>
  <si>
    <t>0.3% of 50,250 — Drug-census houses surveyed of this assembly's target.</t>
  </si>
  <si>
    <t>ADCRD-070</t>
  </si>
  <si>
    <t>Survey completed — Atam Nagar</t>
  </si>
  <si>
    <t>8.8% of 41,750 — Drug-census houses surveyed of this assembly's target.</t>
  </si>
  <si>
    <t>ADCRD-071</t>
  </si>
  <si>
    <t>Punjab Nirman</t>
  </si>
  <si>
    <t>Status update / UCs from BDPOs</t>
  </si>
  <si>
    <t>Pending</t>
  </si>
  <si>
    <t>ADCRD-039</t>
  </si>
  <si>
    <t>Dhanasu / Gow Shala</t>
  </si>
  <si>
    <t>Dhanasu — amount released (of Rs18L)</t>
  </si>
  <si>
    <t>Rs lakh</t>
  </si>
  <si>
    <t>Rs2.74L sanctioned further</t>
  </si>
  <si>
    <t>ADCRD-055</t>
  </si>
  <si>
    <t>Gow Shala Mar-26 payment (Rs15.47L) released? (Y/N)</t>
  </si>
  <si>
    <t>To be released by MCL</t>
  </si>
  <si>
    <t>ADCRD-056</t>
  </si>
  <si>
    <t>ADC (UD)   —   Priority Agenda Review   |   DC Ludhiana (MASTER)</t>
  </si>
  <si>
    <t>MM Tirath Yatra Yojana</t>
  </si>
  <si>
    <t>Bills pending (count)</t>
  </si>
  <si>
    <t>bills</t>
  </si>
  <si>
    <t>Cleared till 04 May 2026; none pending</t>
  </si>
  <si>
    <t>ADCUD-001</t>
  </si>
  <si>
    <t>All bills up to date cleared? (Y/N)</t>
  </si>
  <si>
    <t>ADCUD-002</t>
  </si>
  <si>
    <t>Buddha Dariya — NGT / Dairies / CBG</t>
  </si>
  <si>
    <t>Dairies identified (Rajpur/Haibowal)</t>
  </si>
  <si>
    <t xml:space="preserve"> </t>
  </si>
  <si>
    <t>Disconnection done; MCL direction passed</t>
  </si>
  <si>
    <t>ADCUD-003</t>
  </si>
  <si>
    <t>Tajpur — dairies disconnected</t>
  </si>
  <si>
    <t>21 dairies out of complex</t>
  </si>
  <si>
    <t>ADCUD-004</t>
  </si>
  <si>
    <t>CBG plant — site identified? (Y/N)</t>
  </si>
  <si>
    <t>Jamalpur dump site found for carcass</t>
  </si>
  <si>
    <t>ADCUD-005</t>
  </si>
  <si>
    <t>CETP/STP — ATR report submitted? (Y/N)</t>
  </si>
  <si>
    <t>STP under construction at MC Raikot</t>
  </si>
  <si>
    <t>ADCUD-006</t>
  </si>
  <si>
    <t>WTP — Water Treatment Plant</t>
  </si>
  <si>
    <t>WTPs with NO land available</t>
  </si>
  <si>
    <t>MC Doraha, Maloud, Sahnewal</t>
  </si>
  <si>
    <t>ADCUD-007</t>
  </si>
  <si>
    <t>Mullanpur Dakha — completion status</t>
  </si>
  <si>
    <t>Priority; Council land pending</t>
  </si>
  <si>
    <t>ADCUD-008</t>
  </si>
  <si>
    <t>IT / MC Land Price Fixation</t>
  </si>
  <si>
    <t>Price Fixation Committee meeting held? (Y/N)</t>
  </si>
  <si>
    <t>IT case under process</t>
  </si>
  <si>
    <t>ADCUD-009</t>
  </si>
  <si>
    <t>ADC (J)   —   Priority Agenda Review   |   DC Ludhiana (MASTER)</t>
  </si>
  <si>
    <t>YnV Bills</t>
  </si>
  <si>
    <t>Phase I bills — status</t>
  </si>
  <si>
    <t>Phase 1 complete; Phase 2 mtg 5/6 Jun</t>
  </si>
  <si>
    <t>ADCJ-001</t>
  </si>
  <si>
    <t>Phase III — E-rickshaws on road</t>
  </si>
  <si>
    <t>Campaign started 8 May</t>
  </si>
  <si>
    <t>ADCJ-002</t>
  </si>
  <si>
    <t>SAARC Knit &amp; PP bills mismatch — meeting held? (Y/N)</t>
  </si>
  <si>
    <t>ADCJ-003</t>
  </si>
  <si>
    <t>Halwara Airport</t>
  </si>
  <si>
    <t>📊 Infrastructure works completed</t>
  </si>
  <si>
    <t>of 38 total; 31 ongoing. Operational target was 15 May; electricity damage noted.</t>
  </si>
  <si>
    <t>Infrastructure works — completed</t>
  </si>
  <si>
    <t>31 ongoing; target 20 May</t>
  </si>
  <si>
    <t>ADCJ-004</t>
  </si>
  <si>
    <t>Security accommodation — done? (Y/N)</t>
  </si>
  <si>
    <t>Training of personnel ongoing</t>
  </si>
  <si>
    <t>ADCJ-005</t>
  </si>
  <si>
    <t>LIAL — VC held? (Y/N)</t>
  </si>
  <si>
    <t>ADCJ-006</t>
  </si>
  <si>
    <t>Flood Protection — Bet Area</t>
  </si>
  <si>
    <t>Bet area desilting — tenders failed</t>
  </si>
  <si>
    <t>8 kila; next date 22 May</t>
  </si>
  <si>
    <t>ADCJ-007</t>
  </si>
  <si>
    <t>Khaira Bet — forest objections</t>
  </si>
  <si>
    <t>Forest land; meeting 4 Jun</t>
  </si>
  <si>
    <t>ADCJ-008</t>
  </si>
  <si>
    <t>DDMA flood equipment (Rs5L Red Cross) — tender floated? (Y/N)</t>
  </si>
  <si>
    <t>XEN Kamaljit specs; whole district</t>
  </si>
  <si>
    <t>ADCJ-009</t>
  </si>
  <si>
    <t>Desilting — Khaira Bet Coordination</t>
  </si>
  <si>
    <t>Escalation to Central Govt / WRD — status</t>
  </si>
  <si>
    <t>NGT next date pending</t>
  </si>
  <si>
    <t>ADCJ-010</t>
  </si>
  <si>
    <t>SPCA</t>
  </si>
  <si>
    <t>CAPEX funds plan prepared? (Y/N)</t>
  </si>
  <si>
    <t>ADC Jagraon recommendation pending</t>
  </si>
  <si>
    <t>ADCJ-011</t>
  </si>
  <si>
    <t>Raikot Master Plan</t>
  </si>
  <si>
    <t>Master Plan — status</t>
  </si>
  <si>
    <t>ADCJ-012</t>
  </si>
  <si>
    <t>ADC (K)   —   Priority Agenda Review   |   DC Ludhiana (MASTER)</t>
  </si>
  <si>
    <t>Court Cases &amp; Legal Matters</t>
  </si>
  <si>
    <t>Hadon Bet (YnV) — CM Relief Fund status</t>
  </si>
  <si>
    <t>Due 13 May — overdue</t>
  </si>
  <si>
    <t>ADCK-001</t>
  </si>
  <si>
    <t>No-representation defaults</t>
  </si>
  <si>
    <t>Zero tolerance</t>
  </si>
  <si>
    <t>ADCK-002</t>
  </si>
  <si>
    <t>Flood Protection — Sasrali</t>
  </si>
  <si>
    <t>📊 Sasrali geotubes installed</t>
  </si>
  <si>
    <t>of 448 (35%). Work closed 23.05 by XEN Mining; Show-Cause issued. 12 tippers running.</t>
  </si>
  <si>
    <t>Sasrali geotubes installed</t>
  </si>
  <si>
    <t>35% done; closed 23.05 by XEN Mining; SCN issued</t>
  </si>
  <si>
    <t>ADCK-003</t>
  </si>
  <si>
    <t>Flood Protection — Dhulewal</t>
  </si>
  <si>
    <t>📊 Dhulewal flood works completed</t>
  </si>
  <si>
    <t>of 18 sanctioned; 16 halted (NREGA payment stopped). Rs 97.93L budget decision pending with DC.</t>
  </si>
  <si>
    <t>Dhulewal works completed</t>
  </si>
  <si>
    <t>16 halted; Rs97.93L budget pending DC; SDRF/DMF decision</t>
  </si>
  <si>
    <t>ADCK-004</t>
  </si>
  <si>
    <t>Desilting — Coordination</t>
  </si>
  <si>
    <t>Working desilting sites</t>
  </si>
  <si>
    <t>Mandala (road denied) &amp; Dopana (forest) — no site working</t>
  </si>
  <si>
    <t>ADCK-005</t>
  </si>
  <si>
    <t>FCI Silage Works</t>
  </si>
  <si>
    <t>Ghudani Khurd — status</t>
  </si>
  <si>
    <t>Panchayat not ready; ADC mtg 5 Jun</t>
  </si>
  <si>
    <t>ADCK-006</t>
  </si>
  <si>
    <t>NHAI — Pkg 2 (Ldh-Ropar)</t>
  </si>
  <si>
    <t>Possession pending (km)</t>
  </si>
  <si>
    <t>km</t>
  </si>
  <si>
    <t>5.3 of 47.24 km; HC challenge</t>
  </si>
  <si>
    <t>ADCK-007</t>
  </si>
  <si>
    <t>Rahon Road</t>
  </si>
  <si>
    <t>Road pending (mtrs)</t>
  </si>
  <si>
    <t>3 km done; 4 underpasses done; sewerage work</t>
  </si>
  <si>
    <t>ADCK-008</t>
  </si>
  <si>
    <t>SIR (ADC-K)</t>
  </si>
  <si>
    <t>SIR training — status</t>
  </si>
  <si>
    <t>Master trainers geared up</t>
  </si>
  <si>
    <t>ADCK-009</t>
  </si>
  <si>
    <t>Revenue Meeting</t>
  </si>
  <si>
    <t>Pending revenue actions</t>
  </si>
  <si>
    <t>Court cases via Sukhpal Ji (ADC-G office)</t>
  </si>
  <si>
    <t>ADCK-010</t>
  </si>
  <si>
    <t>CMFO   —   Priority Agenda Review   |   DC Ludhiana (MASTER)</t>
  </si>
  <si>
    <t>eSewa Pendency &amp; PGRS</t>
  </si>
  <si>
    <t>📊 Ludhiana applications received (year)</t>
  </si>
  <si>
    <t>In process 39,539 | Pendency 5.48% of received. Figures below are 05 Jun (Last = 04 Jun).</t>
  </si>
  <si>
    <t>District — applications in process</t>
  </si>
  <si>
    <t>Ludhiana total received 721,312; pendency 5.48%</t>
  </si>
  <si>
    <t>CMFO-006</t>
  </si>
  <si>
    <t>District — pendency % of received</t>
  </si>
  <si>
    <t>State comparison rank</t>
  </si>
  <si>
    <t>CMFO-007</t>
  </si>
  <si>
    <t>Pendency — Akash Garg, EOMC MC Ludhiana</t>
  </si>
  <si>
    <t>04 Jun: 7,700 — Applications pending disposal with this officer on the eSewa portal (Current = 05 Jun, Last = 04 Jun).</t>
  </si>
  <si>
    <t>CMFO-008</t>
  </si>
  <si>
    <t>Pendency — Beant Kaur, Clerk CMO</t>
  </si>
  <si>
    <t>04 Jun: 5,892 — Applications pending disposal with this officer on the eSewa portal (Current = 05 Jun, Last = 04 Jun).</t>
  </si>
  <si>
    <t>CMFO-009</t>
  </si>
  <si>
    <t>Pendency — Sukhvir Kaur, Clerk Ldh West</t>
  </si>
  <si>
    <t>04 Jun: 5,747 — Applications pending disposal with this officer on the eSewa portal (Current = 05 Jun, Last = 04 Jun).</t>
  </si>
  <si>
    <t>CMFO-010</t>
  </si>
  <si>
    <t>Pendency — Kuldeep Singh, Clerk Ldh East</t>
  </si>
  <si>
    <t>04 Jun: 5,168 — Applications pending disposal with this officer on the eSewa portal (Current = 05 Jun, Last = 04 Jun).</t>
  </si>
  <si>
    <t>CMFO-011</t>
  </si>
  <si>
    <t>Pendency — Harminder Singh, Tehsildar Ldh West</t>
  </si>
  <si>
    <t>04 Jun: 2,258 — Applications pending disposal with this officer on the eSewa portal (Current = 05 Jun, Last = 04 Jun).</t>
  </si>
  <si>
    <t>CMFO-012</t>
  </si>
  <si>
    <t>Pendency — Ranjeet Singh, Tehsildar Ldh East</t>
  </si>
  <si>
    <t>04 Jun: 542 — Applications pending disposal with this officer on the eSewa portal (Current = 05 Jun, Last = 04 Jun).</t>
  </si>
  <si>
    <t>CMFO-013</t>
  </si>
  <si>
    <t>Pendency — Gurucharan Singh, Tehsildar Khanna</t>
  </si>
  <si>
    <t>04 Jun: 260 — Applications pending disposal with this officer on the eSewa portal (Current = 05 Jun, Last = 04 Jun).</t>
  </si>
  <si>
    <t>CMFO-014</t>
  </si>
  <si>
    <t>Approving authority — ADR Harpreet Singh (overall eSewa)</t>
  </si>
  <si>
    <t>CMFO-015</t>
  </si>
  <si>
    <t>Human Rights Commission (HRC)</t>
  </si>
  <si>
    <t>📊 Active HRC cases</t>
  </si>
  <si>
    <t>Sent to Commission 3 | Report received (to put up) 2 | Direct reply 4 | Report pending from depts 3 | Transferred out 1.</t>
  </si>
  <si>
    <t>Total active cases</t>
  </si>
  <si>
    <t>3 sent to Comm; 2 report recd; 4 direct reply; 3 dept pending; 1 transferred</t>
  </si>
  <si>
    <t>CMFO-016</t>
  </si>
  <si>
    <t>Reports pending from departments</t>
  </si>
  <si>
    <t>See case rows below</t>
  </si>
  <si>
    <t>CMFO-017</t>
  </si>
  <si>
    <t>Case 204/10/2026 Umesh Narain</t>
  </si>
  <si>
    <t>case</t>
  </si>
  <si>
    <t>REPORT PENDING</t>
  </si>
  <si>
    <t>Pending with PD NHAI; due 15.06.2026</t>
  </si>
  <si>
    <t>CMFO-018</t>
  </si>
  <si>
    <t>Case 3846/10/2026 Grain Market</t>
  </si>
  <si>
    <t>Pending with CP Ludhiana + MCL; due 22.06.2026</t>
  </si>
  <si>
    <t>CMFO-019</t>
  </si>
  <si>
    <t>Case 4832/10/2026 Baldev Singh</t>
  </si>
  <si>
    <t>Pending with SDM Samrala; due 26.06.2026</t>
  </si>
  <si>
    <t>CMFO-020</t>
  </si>
  <si>
    <t>Case 5334/10/2024 Manjit Kaur</t>
  </si>
  <si>
    <t>DIRECT REPLY</t>
  </si>
  <si>
    <t>Pending with CP Ludhiana; due 26.06.2026</t>
  </si>
  <si>
    <t>CMFO-021</t>
  </si>
  <si>
    <t>Case 2105/10/2026 Arvind</t>
  </si>
  <si>
    <t>Pending with Civil Surgeon; due 03.06.2026</t>
  </si>
  <si>
    <t>CMFO-022</t>
  </si>
  <si>
    <t>Case 276/1/2026 Umesh Narain</t>
  </si>
  <si>
    <t>SENT TO COMM</t>
  </si>
  <si>
    <t>Pending with SDM East (sent to Comm); due 12.06.2026</t>
  </si>
  <si>
    <t>CMFO-023</t>
  </si>
  <si>
    <t>NRI Commission</t>
  </si>
  <si>
    <t>📊 Active NRI cases</t>
  </si>
  <si>
    <t>ATR overdue: 1 (Case 5457/2025, pending SDM Ludhiana West).</t>
  </si>
  <si>
    <t>Total active NRI cases</t>
  </si>
  <si>
    <t>CMFO-024</t>
  </si>
  <si>
    <t>Case 5457/2025 Gurcharan Singh</t>
  </si>
  <si>
    <t>ATR OVERDUE</t>
  </si>
  <si>
    <t>Pending with SDM Ludhiana West; next 26.05.2026</t>
  </si>
  <si>
    <t>CMFO-025</t>
  </si>
  <si>
    <t>Case 4111/2022 Jaspal Singh</t>
  </si>
  <si>
    <t>Final disposal outstanding</t>
  </si>
  <si>
    <t>Pending with SDM Jagraon; next 24.09.2026</t>
  </si>
  <si>
    <t>CMFO-026</t>
  </si>
  <si>
    <t>Case 2803/2017 Manjeet Singh</t>
  </si>
  <si>
    <t>Reminder issued 18.05</t>
  </si>
  <si>
    <t>Pending with SK Branch DC Office; next 22.05.2026</t>
  </si>
  <si>
    <t>CMFO-027</t>
  </si>
  <si>
    <t>Case 5311/2024 Rajinder Kaur</t>
  </si>
  <si>
    <t>Letter to SDM Raikot</t>
  </si>
  <si>
    <t>Pending with PSC NRI Chandigarh; next 10.07.2026</t>
  </si>
  <si>
    <t>CMFO-028</t>
  </si>
  <si>
    <t>Case 3542687 Davinder Grewal</t>
  </si>
  <si>
    <t>Letter to SDM East</t>
  </si>
  <si>
    <t>Pending with Commissioner of Police; next 13.05.2026</t>
  </si>
  <si>
    <t>CMFO-029</t>
  </si>
  <si>
    <t>Case E540370 Naginder Kaur</t>
  </si>
  <si>
    <t>Pending with PSC NRI Chandigarh; next 07.05.2024</t>
  </si>
  <si>
    <t>CMFO-030</t>
  </si>
  <si>
    <t>Caste Certificate eSewa Pendency</t>
  </si>
  <si>
    <t>📊 Total caste-certificate pendency</t>
  </si>
  <si>
    <t>SC 15,847 | OBC/BC 4,050 | General 196. Pending on eSewa with revenue authorities.</t>
  </si>
  <si>
    <t>Total caste cert pendency</t>
  </si>
  <si>
    <t>SC 15847 + OBC/BC 4050 + General 196</t>
  </si>
  <si>
    <t>CMFO-031</t>
  </si>
  <si>
    <t>SC certificates pending</t>
  </si>
  <si>
    <t>Caste-certificate applications pending on eSewa.</t>
  </si>
  <si>
    <t>CMFO-032</t>
  </si>
  <si>
    <t>OBC/BC certificates pending</t>
  </si>
  <si>
    <t>CMFO-033</t>
  </si>
  <si>
    <t>Pending — Tehsildar Ldh West (SC)</t>
  </si>
  <si>
    <t>Caste-certificate applications pending with this authority on eSewa.</t>
  </si>
  <si>
    <t>CMFO-034</t>
  </si>
  <si>
    <t>Pending — Tehsildar Ldh East (SC)</t>
  </si>
  <si>
    <t>CMFO-035</t>
  </si>
  <si>
    <t>Pending — Tehsildar Khanna (SC)</t>
  </si>
  <si>
    <t>CMFO-036</t>
  </si>
  <si>
    <t>Pending — Tehsildar Ldh East (OBC/BC)</t>
  </si>
  <si>
    <t>CMFO-037</t>
  </si>
  <si>
    <t>Pending — NT Ldh West (OBC/BC)</t>
  </si>
  <si>
    <t>CMFO-038</t>
  </si>
  <si>
    <t>Southern Bypass — Land Acquisition &amp; Payment</t>
  </si>
  <si>
    <t>Award revised Rs75Cr-&gt;Rs70Cr documented? (Y/N)</t>
  </si>
  <si>
    <t>CMFO-001</t>
  </si>
  <si>
    <t>Villages — possession pending</t>
  </si>
  <si>
    <t>villages</t>
  </si>
  <si>
    <t>All 16 villages</t>
  </si>
  <si>
    <t>CMFO-002</t>
  </si>
  <si>
    <t>3.6 km disbursement</t>
  </si>
  <si>
    <t>PENDING</t>
  </si>
  <si>
    <t>CMFO-003</t>
  </si>
  <si>
    <t>Ludhiana–Ropar Package I &amp; II</t>
  </si>
  <si>
    <t>Package I — amount pending (Rs Cr)</t>
  </si>
  <si>
    <t>Rs Cr</t>
  </si>
  <si>
    <t>Talwandi Kalan; 3G-1 segment</t>
  </si>
  <si>
    <t>CMFO-004</t>
  </si>
  <si>
    <t>Package II — possession pending (km)</t>
  </si>
  <si>
    <t>5.315 km; arbitration; PD reply overdue</t>
  </si>
  <si>
    <t>CMFO-005</t>
  </si>
  <si>
    <t>Census 2026 (Asst. Nodal)</t>
  </si>
  <si>
    <t>Control room infra set up? (Y/N)</t>
  </si>
  <si>
    <t>Training 13 May–13 Jun</t>
  </si>
  <si>
    <t>CMFO-039</t>
  </si>
  <si>
    <t>AC (G)   —   Priority Agenda Review   |   DC Ludhiana (MASTER)</t>
  </si>
  <si>
    <t>Punjab State Trader Commission (PSTC)</t>
  </si>
  <si>
    <t>📊 Total grievances</t>
  </si>
  <si>
    <t>All grievances received under PSTC across departments.</t>
  </si>
  <si>
    <t>📊 Final resolved</t>
  </si>
  <si>
    <t>63% of total. Implementation under process: 60; Not-agree: 5; Not-resolvable: 7.</t>
  </si>
  <si>
    <t>MCL — resolved</t>
  </si>
  <si>
    <t>87% done | active 7 | 6 stale — Resolved of total received for this dept; active = open + under-implementation.</t>
  </si>
  <si>
    <t>ACG-001</t>
  </si>
  <si>
    <t>Electricity (PSPCL) — resolved</t>
  </si>
  <si>
    <t>63% done | active 15 | 10 stale — Resolved of total received for this dept; active = open + under-implementation.</t>
  </si>
  <si>
    <t>ACG-002</t>
  </si>
  <si>
    <t>Local Govt — resolved</t>
  </si>
  <si>
    <t>67% done | active 9 | 9 stale — Resolved of total received for this dept; active = open + under-implementation.</t>
  </si>
  <si>
    <t>ACG-003</t>
  </si>
  <si>
    <t>Others — resolved</t>
  </si>
  <si>
    <t>67% done | active 7 | 6 stale — Resolved of total received for this dept; active = open + under-implementation.</t>
  </si>
  <si>
    <t>ACG-004</t>
  </si>
  <si>
    <t>Rural Dev &amp; Panchayat — resolved</t>
  </si>
  <si>
    <t>24% done | active 13 | 11 stale — Resolved of total received for this dept; active = open + under-implementation.</t>
  </si>
  <si>
    <t>ACG-005</t>
  </si>
  <si>
    <t>Police — resolved</t>
  </si>
  <si>
    <t>98% done | active 1 | 1 stale — Resolved of total received for this dept; active = open + under-implementation.</t>
  </si>
  <si>
    <t>ACG-006</t>
  </si>
  <si>
    <t>District Food &amp; Supply — resolved</t>
  </si>
  <si>
    <t>100% done | active 0 | 0 stale — Resolved of total received for this dept; active = open + under-implementation.</t>
  </si>
  <si>
    <t>ACG-007</t>
  </si>
  <si>
    <t>PWD — resolved</t>
  </si>
  <si>
    <t>0% done | active 4 | 4 stale — Resolved of total received for this dept; active = open + under-implementation.</t>
  </si>
  <si>
    <t>ACG-008</t>
  </si>
  <si>
    <t>Tax &amp; Excise — resolved</t>
  </si>
  <si>
    <t>80% done | active 1 | 0 stale — Resolved of total received for this dept; active = open + under-implementation.</t>
  </si>
  <si>
    <t>ACG-009</t>
  </si>
  <si>
    <t>Revenue — resolved</t>
  </si>
  <si>
    <t>0% done | active 0 | 0 stale — Resolved of total received for this dept; active = open + under-implementation.</t>
  </si>
  <si>
    <t>ACG-010</t>
  </si>
  <si>
    <t>Mandi Board — resolved</t>
  </si>
  <si>
    <t>ACG-011</t>
  </si>
  <si>
    <t>Pollution Control — resolved</t>
  </si>
  <si>
    <t>ACG-012</t>
  </si>
  <si>
    <t>Total grievances (district)</t>
  </si>
  <si>
    <t>Resolved 147; under impl 60; not-agree 5; not-resolvable 7</t>
  </si>
  <si>
    <t>ACG-013</t>
  </si>
  <si>
    <t>% resolved — BDPO Ludhiana-1</t>
  </si>
  <si>
    <t>0 of 5 grievances resolved; 5 stale (4+ days no update). Actor to be called for review.</t>
  </si>
  <si>
    <t>ACG-014</t>
  </si>
  <si>
    <t>% resolved — BDPO Payal</t>
  </si>
  <si>
    <t>0 of 1 grievances resolved; 1 stale (4+ days no update). Actor to be called for review.</t>
  </si>
  <si>
    <t>ACG-015</t>
  </si>
  <si>
    <t>% resolved — BDPO Khanna</t>
  </si>
  <si>
    <t>1 of 4 grievances resolved; 3 stale (4+ days no update). Actor to be called for review.</t>
  </si>
  <si>
    <t>ACG-016</t>
  </si>
  <si>
    <t>% resolved — BDPO Dehlon</t>
  </si>
  <si>
    <t>2 of 6 grievances resolved; 2 stale (4+ days no update). Actor to be called for review.</t>
  </si>
  <si>
    <t>ACG-017</t>
  </si>
  <si>
    <t>% resolved — EO Jagraon</t>
  </si>
  <si>
    <t>4 of 8 grievances resolved; 3 stale (4+ days no update). Actor to be called for review.</t>
  </si>
  <si>
    <t>ACG-018</t>
  </si>
  <si>
    <t>% resolved — PSPCL XEN Ludhiana Central</t>
  </si>
  <si>
    <t>5 of 10 grievances resolved; 4 stale (4+ days no update). Actor to be called for review.</t>
  </si>
  <si>
    <t>ACG-019</t>
  </si>
  <si>
    <t>Dormant Accounts &amp; Financial Bills</t>
  </si>
  <si>
    <t>📊 Total dormant funds to reconcile</t>
  </si>
  <si>
    <t>Rs 1.13 Cr across LAC 32L, DC Office 36L, ADC-G 28L, DEO 13L, Tehsil West 4.5L. Welfare Society file with DC.</t>
  </si>
  <si>
    <t>Total dormant funds to reconcile (Rs L)</t>
  </si>
  <si>
    <t>Welfare Society file put up to DC</t>
  </si>
  <si>
    <t>ACG-020</t>
  </si>
  <si>
    <t>LAC — reconciled? (Rs32L)</t>
  </si>
  <si>
    <t>Welfare Society creation in progress</t>
  </si>
  <si>
    <t>ACG-021</t>
  </si>
  <si>
    <t>Tehsil West — reconciled? (Rs4.5L)</t>
  </si>
  <si>
    <t>ACG-022</t>
  </si>
  <si>
    <t>DC Office — reconciled? (Rs36L)</t>
  </si>
  <si>
    <t>ACG-023</t>
  </si>
  <si>
    <t>ADC G — reconciled? (Rs28L)</t>
  </si>
  <si>
    <t>ACG-024</t>
  </si>
  <si>
    <t>DEO — reconciled? (Rs13L)</t>
  </si>
  <si>
    <t>ACG-025</t>
  </si>
  <si>
    <t>Red Cross FD</t>
  </si>
  <si>
    <t>FDs merged / interest mode</t>
  </si>
  <si>
    <t>6 FDs merged to 2; monthly interest from June</t>
  </si>
  <si>
    <t>ACG-026</t>
  </si>
  <si>
    <t>YnV Bills — Phase I &amp; II</t>
  </si>
  <si>
    <t>SAARC Knit &amp; PP mismatch — meeting held? (Y/N)</t>
  </si>
  <si>
    <t>ACG-027</t>
  </si>
  <si>
    <t>Court — Raikot Judicial Complex</t>
  </si>
  <si>
    <t>Letter to D&amp;S Judge — reply received? (Y/N)</t>
  </si>
  <si>
    <t>Rs7 Cr for judicial infra land</t>
  </si>
  <si>
    <t>ACG-028</t>
  </si>
  <si>
    <t>Building Committee</t>
  </si>
  <si>
    <t>Tree felling (multi-level parking) — application filed? (Y/N)</t>
  </si>
  <si>
    <t>147 trees; application filed 17/05</t>
  </si>
  <si>
    <t>ACG-029</t>
  </si>
  <si>
    <t>Camera Court Complex — Smart City</t>
  </si>
  <si>
    <t>Installation % complete</t>
  </si>
  <si>
    <t>Smart City funds status pending</t>
  </si>
  <si>
    <t>ACG-030</t>
  </si>
  <si>
    <t>DRO   —   Priority Agenda Review   |   DC Ludhiana (MASTER)</t>
  </si>
  <si>
    <t>Svamitva — Abadi Deh (Urban Property Cards)</t>
  </si>
  <si>
    <t>Map-1 estates being finalised</t>
  </si>
  <si>
    <t>estates</t>
  </si>
  <si>
    <t>Haibowal Kalan, Jawaddi Khurd, Ayali Khurd</t>
  </si>
  <si>
    <t>DRO-001</t>
  </si>
  <si>
    <t>Map-2 awaited from SOI</t>
  </si>
  <si>
    <t>Dugri, Rajpura, Barewal Awana, Sunet</t>
  </si>
  <si>
    <t>DRO-002</t>
  </si>
  <si>
    <t>Ground Truthing sent to SOI</t>
  </si>
  <si>
    <t>DRO-003</t>
  </si>
  <si>
    <t>Ground Truthing PENDING</t>
  </si>
  <si>
    <t>Dhandari Kalan, Noorwala, Kulewal, Jamalpur Awana, Ludhiana City</t>
  </si>
  <si>
    <t>DRO-004</t>
  </si>
  <si>
    <t>Estates with No Laal Lakir</t>
  </si>
  <si>
    <t>Karabara, Mahal Bhagat, Phamra</t>
  </si>
  <si>
    <t>DRO-005</t>
  </si>
  <si>
    <t>Svamitva — Rural Ground Truthing Pendency</t>
  </si>
  <si>
    <t>📊 Tehsils with NO change ~1.5 months</t>
  </si>
  <si>
    <t>Ludhiana Central, Dehlon, Mullanpur Dakha, Maloud — immediate follow-up needed.</t>
  </si>
  <si>
    <t>GT pending — T Ludhiana West</t>
  </si>
  <si>
    <t>DRO-006</t>
  </si>
  <si>
    <t>GT pending — NT Koom Kalan</t>
  </si>
  <si>
    <t>DRO-007</t>
  </si>
  <si>
    <t>GT pending — T Central</t>
  </si>
  <si>
    <t>No change ~1.5 months</t>
  </si>
  <si>
    <t>DRO-008</t>
  </si>
  <si>
    <t>GT pending — NT Dehlon</t>
  </si>
  <si>
    <t>DRO-009</t>
  </si>
  <si>
    <t>GT pending — NT Mullanpur Dakha</t>
  </si>
  <si>
    <t>DRO-010</t>
  </si>
  <si>
    <t>GT pending — NT Maloud</t>
  </si>
  <si>
    <t>DRO-011</t>
  </si>
  <si>
    <t>GT pending — T Jagraon</t>
  </si>
  <si>
    <t>DRO-012</t>
  </si>
  <si>
    <t>GT pending — NT Sidhwan Bet</t>
  </si>
  <si>
    <t>DRO-013</t>
  </si>
  <si>
    <t>GT pending — T Khanna</t>
  </si>
  <si>
    <t>DRO-014</t>
  </si>
  <si>
    <t>NHAI Package 1 — Ropar–Ludhiana</t>
  </si>
  <si>
    <t>Amount pending (Rs Cr)</t>
  </si>
  <si>
    <t>Talwandi Kalan &amp; 3G-1</t>
  </si>
  <si>
    <t>DRO-015</t>
  </si>
  <si>
    <t>Kabja Karwai (Possession)</t>
  </si>
  <si>
    <t>Possession actions this week</t>
  </si>
  <si>
    <t>Regular monitoring</t>
  </si>
  <si>
    <t>DRO-016</t>
  </si>
  <si>
    <t>Action vs Kanungo Jaspreet Dhaka</t>
  </si>
  <si>
    <t>Departmental proceedings status</t>
  </si>
  <si>
    <t>DRO-017</t>
  </si>
  <si>
    <t>PM Pragati Portal</t>
  </si>
  <si>
    <t>Pending packages</t>
  </si>
  <si>
    <t>Timely submission</t>
  </si>
  <si>
    <t>DRO-018</t>
  </si>
  <si>
    <t>SDM Samrala   —   Priority Agenda Review   |   DC Ludhiana (MASTER)</t>
  </si>
  <si>
    <t>Ludhiana–Ropar Package II</t>
  </si>
  <si>
    <t>5.315 km; arbitration; LA award challenged by NHAI</t>
  </si>
  <si>
    <t>SAMR-001</t>
  </si>
  <si>
    <t>PD reply on HGK draft award — received? (Y/N)</t>
  </si>
  <si>
    <t>NHAI conditionally accepted; under consideration</t>
  </si>
  <si>
    <t>SAMR-002</t>
  </si>
  <si>
    <t>Machhiwara Chat/Collector additional award — issued? (Y/N)</t>
  </si>
  <si>
    <t>Draft pending final signature; expected next week</t>
  </si>
  <si>
    <t>SAMR-003</t>
  </si>
  <si>
    <t>Dhulewal Complex</t>
  </si>
  <si>
    <t>of 18 sanctioned at Dhussi Bandh; 16 stalled. Awaiting DC decision to shift to non-MGNREGA funds.</t>
  </si>
  <si>
    <t>Flood works completed</t>
  </si>
  <si>
    <t>16 halted; Rs97.93L pending DC; shift to non-MGNREGA?</t>
  </si>
  <si>
    <t>SAMR-004</t>
  </si>
  <si>
    <t>Mushqabad / CBG</t>
  </si>
  <si>
    <t>Mushqabad objections — draft sent? (Y/N)</t>
  </si>
  <si>
    <t>SAMR-005</t>
  </si>
  <si>
    <t>Desilting — Mandala DO Letter</t>
  </si>
  <si>
    <t>Alternate desilting plan submitted? (Y/N)</t>
  </si>
  <si>
    <t>Village denied road access</t>
  </si>
  <si>
    <t>SAMR-006</t>
  </si>
  <si>
    <t>SDM Jagraon   —   Priority Agenda Review   |   DC Ludhiana (MASTER)</t>
  </si>
  <si>
    <t>CBG Akhara</t>
  </si>
  <si>
    <t>Court case — next date</t>
  </si>
  <si>
    <t>08.07.2026</t>
  </si>
  <si>
    <t>Pending in High Court; status report PENDING</t>
  </si>
  <si>
    <t>JAGR-001</t>
  </si>
  <si>
    <t>Bhundri</t>
  </si>
  <si>
    <t>Pending in High Court</t>
  </si>
  <si>
    <t>JAGR-002</t>
  </si>
  <si>
    <t>Ludhiana–Bathinda Package II</t>
  </si>
  <si>
    <t>Follow-up with NHAI done? (Y/N)</t>
  </si>
  <si>
    <t>JAGR-003</t>
  </si>
  <si>
    <t>MLA Jagraon Works — 9 Items</t>
  </si>
  <si>
    <t>Works completed</t>
  </si>
  <si>
    <t>Bhundri done; Raikot Rd &amp; Kacha Malak done too</t>
  </si>
  <si>
    <t>JAGR-004</t>
  </si>
  <si>
    <t>Bridge Bardeke–Gagra (Rs664L) — Finance sanction? (Y/N)</t>
  </si>
  <si>
    <t>Special Assistance Scheme</t>
  </si>
  <si>
    <t>JAGR-005</t>
  </si>
  <si>
    <t>Waterlogging Kamal Chowk (Rs10.64Cr) — PMIDC funds? (Y/N)</t>
  </si>
  <si>
    <t>Pending at CEO PMIDC</t>
  </si>
  <si>
    <t>JAGR-006</t>
  </si>
  <si>
    <t>SDM Payal   —   Priority Agenda Review   |   DC Ludhiana (MASTER)</t>
  </si>
  <si>
    <t>Court — Rajgarh / Medical College</t>
  </si>
  <si>
    <t>Medical College land (acres)</t>
  </si>
  <si>
    <t>acres</t>
  </si>
  <si>
    <t>Mutation done; proposal to DC; State surplus land route</t>
  </si>
  <si>
    <t>PAYL-001</t>
  </si>
  <si>
    <t>Rajgarh — placed before FCR Sahib? (Y/N)</t>
  </si>
  <si>
    <t>Nothing pending at SDM end</t>
  </si>
  <si>
    <t>PAYL-002</t>
  </si>
  <si>
    <t>Doraha Cycle Track</t>
  </si>
  <si>
    <t>Estimate value (Rs Cr)</t>
  </si>
  <si>
    <t>12 km; XEN Canal Sangrur; final estimate for vetting</t>
  </si>
  <si>
    <t>PAYL-003</t>
  </si>
  <si>
    <t>Maloud — CSR to DMF</t>
  </si>
  <si>
    <t>CSR estimate (Rs16L) converted to DMF? (Y/N)</t>
  </si>
  <si>
    <t>Letter under consideration from DC</t>
  </si>
  <si>
    <t>PAYL-004</t>
  </si>
  <si>
    <t>Rangla Punjab — Maloud &amp; Doraha</t>
  </si>
  <si>
    <t>Block Maloud proposals submitted (Rs Cr)</t>
  </si>
  <si>
    <t>Submitted to ADC RD</t>
  </si>
  <si>
    <t>PAYL-005</t>
  </si>
  <si>
    <t>Block Doraha — works completed</t>
  </si>
  <si>
    <t>7 ongoing; completion by Jun 2026</t>
  </si>
  <si>
    <t>PAYL-006</t>
  </si>
  <si>
    <t>SDM East   —   Priority Agenda Review   |   DC Ludhiana (MASTER)</t>
  </si>
  <si>
    <t>Flood — Certificates from XENs</t>
  </si>
  <si>
    <t>Desilting completion certificate (XEN Drainage)? (Y/N)</t>
  </si>
  <si>
    <t>Certificates pending; DSI from XEN Mining too</t>
  </si>
  <si>
    <t>EAST-001</t>
  </si>
  <si>
    <t>Sherpur Chowk</t>
  </si>
  <si>
    <t>ROW + MC pipeline (Dholewal) resolved? (Y/N)</t>
  </si>
  <si>
    <t>Consultant being hired by MCL</t>
  </si>
  <si>
    <t>EAST-002</t>
  </si>
  <si>
    <t>Giaspura to Sherpur — New Drain</t>
  </si>
  <si>
    <t>DPR submitted / work started? (Y/N)</t>
  </si>
  <si>
    <t>EAST-003</t>
  </si>
  <si>
    <t>Ladhowal DPR — Railway UnderBridge</t>
  </si>
  <si>
    <t>Designer certificate submitted? (Y/N)</t>
  </si>
  <si>
    <t>EAST-004</t>
  </si>
  <si>
    <t>MCL Sewer Line</t>
  </si>
  <si>
    <t>Permission from competent authority? (Y/N)</t>
  </si>
  <si>
    <t>Proposal pending with RO NHAI</t>
  </si>
  <si>
    <t>EAST-005</t>
  </si>
  <si>
    <t>Service Road Encroachment</t>
  </si>
  <si>
    <t>Action on encroachment taken? (Y/N)</t>
  </si>
  <si>
    <t>Notice issued; copy from Akshat NH</t>
  </si>
  <si>
    <t>EAST-006</t>
  </si>
  <si>
    <t>Gehlewal School Transfer</t>
  </si>
  <si>
    <t>Police help for demarcation provided? (Y/N)</t>
  </si>
  <si>
    <t>Opposition from villagers; DEO letter to SDM East</t>
  </si>
  <si>
    <t>EAST-007</t>
  </si>
  <si>
    <t>BL Kapoor Hospital</t>
  </si>
  <si>
    <t>Court case — next hearing date</t>
  </si>
  <si>
    <t>15.05.2026</t>
  </si>
  <si>
    <t>Rebuttal</t>
  </si>
  <si>
    <t>EAST-008</t>
  </si>
  <si>
    <t>Jail Visit &amp; Land Possession</t>
  </si>
  <si>
    <t>Jail visit done / possession completed? (Y/N)</t>
  </si>
  <si>
    <t>Visit done as per demand</t>
  </si>
  <si>
    <t>EAST-009</t>
  </si>
  <si>
    <t>SDM West   —   Priority Agenda Review   |   DC Ludhiana (MASTER)</t>
  </si>
  <si>
    <t>Southern Bypass — NHAI Matters</t>
  </si>
  <si>
    <t>SDM West land issues — villages pending</t>
  </si>
  <si>
    <t>Coordination with CMFO/DRO</t>
  </si>
  <si>
    <t>WEST-001</t>
  </si>
  <si>
    <t>NHAI Delhi–Katra</t>
  </si>
  <si>
    <t>Gujjarwal — land award pending (ha)</t>
  </si>
  <si>
    <t>ha</t>
  </si>
  <si>
    <t>To be done next week</t>
  </si>
  <si>
    <t>WEST-002</t>
  </si>
  <si>
    <t>Dakha 8.25 acres — award done (ha)</t>
  </si>
  <si>
    <t>3.491 acre done, sent to PD</t>
  </si>
  <si>
    <t>WEST-003</t>
  </si>
  <si>
    <t>Tubewell + Motor compensation — awarded? (Y/N)</t>
  </si>
  <si>
    <t>Asset award done this week</t>
  </si>
  <si>
    <t>WEST-004</t>
  </si>
  <si>
    <t>Missing Khasra (Dakha) resolved? (Y/N)</t>
  </si>
  <si>
    <t>WEST-005</t>
  </si>
  <si>
    <t>MLA Dakha Works — 6 Items</t>
  </si>
  <si>
    <t>Raikot Road Divider (Rs50L) — AA approved? (Y/N)</t>
  </si>
  <si>
    <t>Safety audit; AA pending</t>
  </si>
  <si>
    <t>WEST-006</t>
  </si>
  <si>
    <t>SOE Baddowal — education budget released? (Y/N)</t>
  </si>
  <si>
    <t>Students in corridors; budget awaited</t>
  </si>
  <si>
    <t>WEST-007</t>
  </si>
  <si>
    <t>Rural link roads — length done (km)</t>
  </si>
  <si>
    <t>NABARD-30:7.85 + SASCI-100:7.93 done; SASCI-533:38.94 ongoing</t>
  </si>
  <si>
    <t>WEST-008</t>
  </si>
  <si>
    <t>Weekly SIR Progress Report</t>
  </si>
  <si>
    <t>SIR weekly report submitted? (Y/N)</t>
  </si>
  <si>
    <t>To be submitted regularly</t>
  </si>
  <si>
    <t>WEST-009</t>
  </si>
  <si>
    <t>KS Sidhu Ji Speaking Order</t>
  </si>
  <si>
    <t>Compliance status</t>
  </si>
  <si>
    <t>Confirm compliance</t>
  </si>
  <si>
    <t>WEST-010</t>
  </si>
  <si>
    <t>SDM Raikot   —   Priority Agenda Review   |   DC Ludhiana (MASTER)</t>
  </si>
  <si>
    <t>NHAI Ldh–Bathinda Pkg 2</t>
  </si>
  <si>
    <t>2.06 km — amount disbursed (Rs Cr)</t>
  </si>
  <si>
    <t>1.5 Cr disbursed today</t>
  </si>
  <si>
    <t>RAIK-001</t>
  </si>
  <si>
    <t>0.42 km — arbitration cases pending</t>
  </si>
  <si>
    <t>9 at Arbitrator Patiala; 3 disposed</t>
  </si>
  <si>
    <t>RAIK-002</t>
  </si>
  <si>
    <t>1.46 km — award (Village Sarabha draft ready)? (Y/N)</t>
  </si>
  <si>
    <t>Chat rate pending Tehsildar Central</t>
  </si>
  <si>
    <t>RAIK-003</t>
  </si>
  <si>
    <t>3.06 km — higher compensation demand</t>
  </si>
  <si>
    <t>Processing</t>
  </si>
  <si>
    <t>RAIK-004</t>
  </si>
  <si>
    <t>Court Cases — Regular Monitoring</t>
  </si>
  <si>
    <t>RAIK-005</t>
  </si>
  <si>
    <t>Mother &amp; Child Hospital Raikot</t>
  </si>
  <si>
    <t>HR &amp; equipment list — sent to PHSC? (Y/N)</t>
  </si>
  <si>
    <t>Yes</t>
  </si>
  <si>
    <t>Sent to higher authorities</t>
  </si>
  <si>
    <t>RAIK-006</t>
  </si>
  <si>
    <t>Ward Bandi Raikot</t>
  </si>
  <si>
    <t>Notification done? (Y/N)</t>
  </si>
  <si>
    <t>No public objection; notified</t>
  </si>
  <si>
    <t>RAIK-007</t>
  </si>
  <si>
    <t>RTA   —   Priority Agenda Review   |   DC Ludhiana (MASTER)</t>
  </si>
  <si>
    <t>DL / RC Pendency</t>
  </si>
  <si>
    <t>DL applications pending</t>
  </si>
  <si>
    <t>Action plan required</t>
  </si>
  <si>
    <t>RTA-001</t>
  </si>
  <si>
    <t>RC applications pending</t>
  </si>
  <si>
    <t>RTA-002</t>
  </si>
  <si>
    <t>Safe School Vahan</t>
  </si>
  <si>
    <t>Challans/warnings to school buses</t>
  </si>
  <si>
    <t>25 issued last meeting</t>
  </si>
  <si>
    <t>RTA-003</t>
  </si>
  <si>
    <t>Buses found unfit — action taken</t>
  </si>
  <si>
    <t>RTA-004</t>
  </si>
  <si>
    <t>VIP Functions</t>
  </si>
  <si>
    <t>Upcoming functions — arrangements confirmed? (Y/N)</t>
  </si>
  <si>
    <t>List to be provided</t>
  </si>
  <si>
    <t>RTA-005</t>
  </si>
  <si>
    <t>DATA CONNECTIONS — linking officer workbooks into this master (Google Sheets)</t>
  </si>
  <si>
    <t>How it works</t>
  </si>
  <si>
    <t>Each officer keeps their own Google Sheet workbook. That workbook has a tab called 'MASTER FEED' listing every KPI with a unique Key + live Current / Status / Auto-Flag. This master pulls those values by Key using IMPORTRANGE + VLOOKUP.</t>
  </si>
  <si>
    <t>One-time setup</t>
  </si>
  <si>
    <t>1) Upload each officer workbook to Google Drive and open as a Google Sheet.  2) Copy its URL.  3) In the formulas below, replace &lt;OFFICER_URL&gt; with that URL.  4) Paste the formula into the officer's tab here, in the Current Value (H), Status (K) and Auto-Flag (L) columns of each SCHEME/TASK row.  5) The first time, click the cell → 'Allow access' to authorise the link.</t>
  </si>
  <si>
    <t>Key column</t>
  </si>
  <si>
    <t>Every row in this master carries a hidden Key in column R (e.g. ADCG-001). The officer workbook's MASTER FEED uses the same Keys, so values match even if rows are reordered.</t>
  </si>
  <si>
    <t>FORMULA TEMPLATES (paste into the matching column cell of each scheme/task row)</t>
  </si>
  <si>
    <t>Current Value (col H)</t>
  </si>
  <si>
    <t>Status (col K)</t>
  </si>
  <si>
    <t>Auto-Flag (col L)</t>
  </si>
  <si>
    <t>Remarks (col P)</t>
  </si>
  <si>
    <t>OFFICER WORKBOOKS</t>
  </si>
  <si>
    <t>Key prefix: ADCG-***   |   workbook: ✓ built   |   paste its URL into the templates above for this officer's tab.</t>
  </si>
  <si>
    <t>Key prefix: ADCRD-***   |   workbook: ✓ built   |   paste its URL into the templates above for this officer's tab.</t>
  </si>
  <si>
    <t>Key prefix: ADCUD-***   |   workbook: ✓ built   |   paste its URL into the templates above for this officer's tab.</t>
  </si>
  <si>
    <t>Key prefix: ADCJ-***   |   workbook: ✓ built   |   paste its URL into the templates above for this officer's tab.</t>
  </si>
  <si>
    <t>Key prefix: ADCK-***   |   workbook: ✓ built   |   paste its URL into the templates above for this officer's tab.</t>
  </si>
  <si>
    <t>Key prefix: CMFO-***   |   workbook: ✓ built   |   paste its URL into the templates above for this officer's tab.</t>
  </si>
  <si>
    <t>Key prefix: ACG-***   |   workbook: ✓ built   |   paste its URL into the templates above for this officer's tab.</t>
  </si>
  <si>
    <t>Key prefix: DRO-***   |   workbook: ✓ built   |   paste its URL into the templates above for this officer's tab.</t>
  </si>
  <si>
    <t>Key prefix: SAMR-***   |   workbook: ✓ built   |   paste its URL into the templates above for this officer's tab.</t>
  </si>
  <si>
    <t>Key prefix: JAGR-***   |   workbook: ✓ built   |   paste its URL into the templates above for this officer's tab.</t>
  </si>
  <si>
    <t>Key prefix: PAYL-***   |   workbook: ✓ built   |   paste its URL into the templates above for this officer's tab.</t>
  </si>
  <si>
    <t>Key prefix: EAST-***   |   workbook: ✓ built   |   paste its URL into the templates above for this officer's tab.</t>
  </si>
  <si>
    <t>Key prefix: WEST-***   |   workbook: ✓ built   |   paste its URL into the templates above for this officer's tab.</t>
  </si>
  <si>
    <t>Key prefix: RAIK-***   |   workbook: ✓ built   |   paste its URL into the templates above for this officer's tab.</t>
  </si>
  <si>
    <t>Key prefix: RTA-***   |   workbook: ✓ built   |   paste its URL into the templates above for this officer's tab.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</si>
</sst>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404040"/>
      <name val="Arial"/>
    </font>
    <font>
      <b/>
      <sz val="10.0"/>
      <color rgb="FF1F3864"/>
      <name val="Arial"/>
    </font>
    <font>
      <b/>
      <sz val="11.0"/>
      <color rgb="FF0000FF"/>
      <name val="Arial"/>
    </font>
    <font>
      <i/>
      <sz val="9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1F3864"/>
      <name val="Arial"/>
    </font>
    <font>
      <b/>
      <sz val="9.0"/>
      <color rgb="FF000000"/>
      <name val="Arial"/>
    </font>
    <font>
      <b/>
      <sz val="9.0"/>
      <color rgb="FF9C0006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2.0"/>
      <color rgb="FF1F3864"/>
      <name val="Arial"/>
    </font>
    <font>
      <b/>
      <sz val="10.0"/>
      <color rgb="FF000000"/>
      <name val="Arial"/>
    </font>
    <font>
      <sz val="10.0"/>
      <color rgb="FF1F3864"/>
      <name val="Arial"/>
    </font>
    <font>
      <b/>
      <sz val="12.0"/>
      <color rgb="FFFFFFFF"/>
      <name val="Arial"/>
    </font>
    <font>
      <b/>
      <sz val="8.0"/>
      <color rgb="FFFFFFFF"/>
      <name val="Arial"/>
    </font>
    <font>
      <b/>
      <sz val="8.0"/>
      <color rgb="FF000000"/>
      <name val="Arial"/>
    </font>
    <font>
      <b/>
      <sz val="8.0"/>
      <color rgb="FF1F3864"/>
      <name val="Arial"/>
    </font>
    <font>
      <sz val="8.0"/>
      <color rgb="FF404040"/>
      <name val="Arial"/>
    </font>
    <font>
      <b/>
      <sz val="8.0"/>
      <color rgb="FF404040"/>
      <name val="Arial"/>
    </font>
    <font>
      <sz val="8.0"/>
      <color rgb="FF0000FF"/>
      <name val="Arial"/>
    </font>
    <font>
      <sz val="8.0"/>
      <color rgb="FF000000"/>
      <name val="Arial"/>
    </font>
    <font>
      <sz val="8.0"/>
      <color rgb="FF1F3864"/>
      <name val="Arial"/>
    </font>
    <font>
      <sz val="7.0"/>
      <color rgb="FF000000"/>
      <name val="Arial"/>
    </font>
    <font>
      <sz val="7.0"/>
      <color rgb="FF404040"/>
      <name val="Arial"/>
    </font>
    <font>
      <b/>
      <sz val="13.0"/>
      <color rgb="FFFFFFFF"/>
      <name val="Arial"/>
    </font>
    <font>
      <sz val="9.0"/>
      <color rgb="FF0000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0F0"/>
        <bgColor rgb="FFD6E0F0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4" fillId="4" fontId="5" numFmtId="2" xfId="0" applyAlignment="1" applyBorder="1" applyFill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8" numFmtId="3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2" fontId="13" numFmtId="0" xfId="0" applyAlignment="1" applyBorder="1" applyFont="1">
      <alignment horizontal="left" shrinkToFit="0" vertical="center" wrapText="1"/>
    </xf>
    <xf borderId="4" fillId="2" fontId="7" numFmtId="3" xfId="0" applyAlignment="1" applyBorder="1" applyFont="1" applyNumberFormat="1">
      <alignment horizontal="center" shrinkToFit="0" vertical="center" wrapText="1"/>
    </xf>
    <xf borderId="4" fillId="2" fontId="7" numFmtId="164" xfId="0" applyAlignment="1" applyBorder="1" applyFont="1" applyNumberFormat="1">
      <alignment horizontal="center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horizontal="left" shrinkToFit="0" vertical="top" wrapText="1"/>
    </xf>
    <xf borderId="4" fillId="11" fontId="13" numFmtId="0" xfId="0" applyAlignment="1" applyBorder="1" applyFill="1" applyFont="1">
      <alignment horizontal="left" shrinkToFit="0" vertical="top" wrapText="1"/>
    </xf>
    <xf borderId="4" fillId="12" fontId="4" numFmtId="0" xfId="0" applyAlignment="1" applyBorder="1" applyFill="1" applyFont="1">
      <alignment horizontal="left" shrinkToFit="0" vertical="top" wrapText="1"/>
    </xf>
    <xf borderId="4" fillId="7" fontId="4" numFmtId="0" xfId="0" applyAlignment="1" applyBorder="1" applyFont="1">
      <alignment horizontal="left" shrinkToFit="0" vertical="top" wrapText="1"/>
    </xf>
    <xf borderId="4" fillId="7" fontId="17" numFmtId="0" xfId="0" applyAlignment="1" applyBorder="1" applyFont="1">
      <alignment horizontal="left" shrinkToFit="0" vertical="top" wrapText="1"/>
    </xf>
    <xf borderId="1" fillId="2" fontId="18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1" fillId="11" fontId="13" numFmtId="0" xfId="0" applyAlignment="1" applyBorder="1" applyFont="1">
      <alignment horizontal="left" shrinkToFit="0" vertical="center" wrapText="1"/>
    </xf>
    <xf borderId="4" fillId="13" fontId="20" numFmtId="0" xfId="0" applyAlignment="1" applyBorder="1" applyFill="1" applyFont="1">
      <alignment horizontal="center" shrinkToFit="0" vertical="center" wrapText="1"/>
    </xf>
    <xf borderId="4" fillId="3" fontId="21" numFmtId="0" xfId="0" applyAlignment="1" applyBorder="1" applyFont="1">
      <alignment horizontal="left" shrinkToFit="0" vertical="top" wrapText="1"/>
    </xf>
    <xf borderId="4" fillId="12" fontId="21" numFmtId="0" xfId="0" applyAlignment="1" applyBorder="1" applyFont="1">
      <alignment horizontal="left" shrinkToFit="0" vertical="top" wrapText="1"/>
    </xf>
    <xf borderId="4" fillId="14" fontId="22" numFmtId="0" xfId="0" applyAlignment="1" applyBorder="1" applyFill="1" applyFont="1">
      <alignment horizontal="left" shrinkToFit="0" vertical="top" wrapText="1"/>
    </xf>
    <xf borderId="4" fillId="14" fontId="23" numFmtId="0" xfId="0" applyAlignment="1" applyBorder="1" applyFont="1">
      <alignment horizontal="center" shrinkToFit="0" vertical="center" wrapText="1"/>
    </xf>
    <xf borderId="4" fillId="14" fontId="24" numFmtId="0" xfId="0" applyAlignment="1" applyBorder="1" applyFont="1">
      <alignment horizontal="center" shrinkToFit="0" vertical="center" wrapText="1"/>
    </xf>
    <xf borderId="4" fillId="14" fontId="25" numFmtId="0" xfId="0" applyAlignment="1" applyBorder="1" applyFont="1">
      <alignment horizontal="center" shrinkToFit="0" vertical="center" wrapText="1"/>
    </xf>
    <xf borderId="4" fillId="12" fontId="21" numFmtId="3" xfId="0" applyAlignment="1" applyBorder="1" applyFont="1" applyNumberFormat="1">
      <alignment horizontal="center" shrinkToFit="0" vertical="center" wrapText="1"/>
    </xf>
    <xf borderId="4" fillId="14" fontId="25" numFmtId="0" xfId="0" applyAlignment="1" applyBorder="1" applyFont="1">
      <alignment horizontal="left" shrinkToFit="0" vertical="center" wrapText="1"/>
    </xf>
    <xf borderId="4" fillId="14" fontId="26" numFmtId="0" xfId="0" applyAlignment="1" applyBorder="1" applyFont="1">
      <alignment horizontal="left" shrinkToFit="0" vertical="top" wrapText="1"/>
    </xf>
    <xf borderId="4" fillId="0" fontId="27" numFmtId="0" xfId="0" applyAlignment="1" applyBorder="1" applyFont="1">
      <alignment horizontal="left" shrinkToFit="0" vertical="center" wrapText="1"/>
    </xf>
    <xf borderId="4" fillId="12" fontId="20" numFmtId="0" xfId="0" applyAlignment="1" applyBorder="1" applyFont="1">
      <alignment horizontal="center" shrinkToFit="0" vertical="center" wrapText="1"/>
    </xf>
    <xf borderId="4" fillId="14" fontId="21" numFmtId="0" xfId="0" applyAlignment="1" applyBorder="1" applyFont="1">
      <alignment horizontal="left" shrinkToFit="0" vertical="top" wrapText="1"/>
    </xf>
    <xf borderId="4" fillId="15" fontId="20" numFmtId="0" xfId="0" applyAlignment="1" applyBorder="1" applyFill="1" applyFont="1">
      <alignment horizontal="center" shrinkToFit="0" vertical="center" wrapText="1"/>
    </xf>
    <xf borderId="4" fillId="15" fontId="21" numFmtId="0" xfId="0" applyAlignment="1" applyBorder="1" applyFont="1">
      <alignment horizontal="left" shrinkToFit="0" vertical="top" wrapText="1"/>
    </xf>
    <xf borderId="4" fillId="0" fontId="25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4" fontId="25" numFmtId="3" xfId="0" applyAlignment="1" applyBorder="1" applyFont="1" applyNumberFormat="1">
      <alignment horizontal="center" shrinkToFit="0" vertical="center" wrapText="1"/>
    </xf>
    <xf borderId="4" fillId="0" fontId="25" numFmtId="3" xfId="0" applyAlignment="1" applyBorder="1" applyFont="1" applyNumberFormat="1">
      <alignment horizontal="center" shrinkToFit="0" vertical="center" wrapText="1"/>
    </xf>
    <xf borderId="4" fillId="0" fontId="25" numFmtId="164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left" shrinkToFit="0" vertical="top" wrapText="1"/>
    </xf>
    <xf borderId="4" fillId="0" fontId="22" numFmtId="3" xfId="0" applyAlignment="1" applyBorder="1" applyFont="1" applyNumberFormat="1">
      <alignment horizontal="center" shrinkToFit="0" vertical="center" wrapText="1"/>
    </xf>
    <xf borderId="4" fillId="0" fontId="24" numFmtId="3" xfId="0" applyAlignment="1" applyBorder="1" applyFont="1" applyNumberFormat="1">
      <alignment horizontal="center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13" fontId="20" numFmtId="0" xfId="0" applyAlignment="1" applyBorder="1" applyFont="1">
      <alignment horizontal="center" readingOrder="0" shrinkToFit="0" vertical="center" wrapText="1"/>
    </xf>
    <xf borderId="4" fillId="3" fontId="21" numFmtId="0" xfId="0" applyAlignment="1" applyBorder="1" applyFont="1">
      <alignment horizontal="left" readingOrder="0" shrinkToFit="0" vertical="top" wrapText="1"/>
    </xf>
    <xf borderId="1" fillId="16" fontId="13" numFmtId="0" xfId="0" applyAlignment="1" applyBorder="1" applyFill="1" applyFont="1">
      <alignment horizontal="left" shrinkToFit="0" vertical="center" wrapText="1"/>
    </xf>
    <xf borderId="4" fillId="0" fontId="22" numFmtId="164" xfId="0" applyAlignment="1" applyBorder="1" applyFont="1" applyNumberFormat="1">
      <alignment horizontal="center" shrinkToFit="0" vertical="center" wrapText="1"/>
    </xf>
    <xf borderId="4" fillId="0" fontId="24" numFmtId="164" xfId="0" applyAlignment="1" applyBorder="1" applyFont="1" applyNumberFormat="1">
      <alignment horizontal="center" shrinkToFit="0" vertical="center" wrapText="1"/>
    </xf>
    <xf borderId="4" fillId="4" fontId="25" numFmtId="164" xfId="0" applyAlignment="1" applyBorder="1" applyFont="1" applyNumberFormat="1">
      <alignment horizontal="center" shrinkToFit="0" vertical="center" wrapText="1"/>
    </xf>
    <xf borderId="4" fillId="4" fontId="25" numFmtId="0" xfId="0" applyAlignment="1" applyBorder="1" applyFont="1">
      <alignment horizontal="center" shrinkToFit="0" vertical="center" wrapText="1"/>
    </xf>
    <xf borderId="4" fillId="12" fontId="21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top" wrapText="1"/>
    </xf>
    <xf borderId="4" fillId="13" fontId="10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1" fillId="5" fontId="13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7">
    <dxf>
      <font>
        <sz val="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8.0"/>
        <color rgb="FF006100"/>
        <name val="Arial"/>
      </font>
      <fill>
        <patternFill patternType="solid">
          <fgColor rgb="FFE2EFDA"/>
          <bgColor rgb="FFE2EFDA"/>
        </patternFill>
      </fill>
      <border/>
    </dxf>
    <dxf>
      <font>
        <sz val="8.0"/>
        <color rgb="FF7F6000"/>
        <name val="Arial"/>
      </font>
      <fill>
        <patternFill patternType="solid">
          <fgColor rgb="FFFFEB9C"/>
          <bgColor rgb="FFFFEB9C"/>
        </patternFill>
      </fill>
      <border/>
    </dxf>
    <dxf>
      <font>
        <sz val="8.0"/>
        <color rgb="FF843C0C"/>
        <name val="Arial"/>
      </font>
      <fill>
        <patternFill patternType="solid">
          <fgColor rgb="FFFCE4D6"/>
          <bgColor rgb="FFFCE4D6"/>
        </patternFill>
      </fill>
      <border/>
    </dxf>
    <dxf>
      <font>
        <sz val="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8.0"/>
        <color rgb="FF9C0006"/>
        <name val="Arial"/>
      </font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4" width="11.0"/>
    <col customWidth="1" min="5" max="5" width="10.0"/>
    <col customWidth="1" min="6" max="6" width="11.0"/>
    <col customWidth="1" min="7" max="7" width="13.0"/>
    <col customWidth="1" min="8" max="8" width="11.0"/>
    <col customWidth="1" min="9" max="9" width="9.0"/>
    <col customWidth="1" min="10" max="10" width="11.0"/>
    <col customWidth="1" min="11" max="26" width="8.71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5.0" customHeight="1">
      <c r="B2" s="4" t="s">
        <v>1</v>
      </c>
      <c r="C2" s="2"/>
      <c r="D2" s="2"/>
      <c r="E2" s="2"/>
      <c r="F2" s="2"/>
      <c r="G2" s="2"/>
      <c r="H2" s="2"/>
      <c r="I2" s="2"/>
      <c r="J2" s="3"/>
    </row>
    <row r="3" ht="15.0" customHeight="1">
      <c r="B3" s="5" t="s">
        <v>2</v>
      </c>
      <c r="C3" s="2"/>
      <c r="D3" s="2"/>
      <c r="E3" s="2"/>
      <c r="F3" s="2"/>
      <c r="G3" s="2"/>
      <c r="H3" s="2"/>
      <c r="I3" s="2"/>
      <c r="J3" s="3"/>
    </row>
    <row r="4" ht="15.0" customHeight="1">
      <c r="B4" s="6">
        <v>1.0</v>
      </c>
      <c r="C4" s="7" t="s">
        <v>3</v>
      </c>
      <c r="D4" s="2"/>
      <c r="E4" s="2"/>
      <c r="F4" s="2"/>
      <c r="G4" s="2"/>
      <c r="H4" s="2"/>
      <c r="I4" s="2"/>
      <c r="J4" s="3"/>
    </row>
    <row r="6" ht="25.5" customHeight="1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  <row r="7">
      <c r="A7" s="9">
        <v>1.0</v>
      </c>
      <c r="B7" s="10" t="s">
        <v>14</v>
      </c>
      <c r="C7" s="11">
        <f>COUNTIF('ADC (G)'!K3:K1997,"?*")</f>
        <v>111</v>
      </c>
      <c r="D7" s="12">
        <f>COUNTIF('ADC (G)'!K3:K1997,"Completed")</f>
        <v>1</v>
      </c>
      <c r="E7" s="13">
        <f>COUNTIF('ADC (G)'!K3:K1997,"On Track")</f>
        <v>10</v>
      </c>
      <c r="F7" s="14">
        <f>COUNTIF('ADC (G)'!K3:K1997,"In Progress")</f>
        <v>82</v>
      </c>
      <c r="G7" s="15">
        <f>COUNTIF('ADC (G)'!K3:K1997,"Pending/Blocked")</f>
        <v>18</v>
      </c>
      <c r="H7" s="16">
        <f>COUNTIF('ADC (G)'!K3:K1997,"Not Started")</f>
        <v>0</v>
      </c>
      <c r="I7" s="17">
        <f t="shared" ref="I7:I22" si="1">IF(C7=0,0,(D7+E7)/C7)</f>
        <v>0.0990990991</v>
      </c>
      <c r="J7" s="18">
        <f>COUNTIF('ADC (G)'!L3:L1997,"*🔴*")</f>
        <v>54</v>
      </c>
    </row>
    <row r="8">
      <c r="A8" s="9">
        <v>2.0</v>
      </c>
      <c r="B8" s="10" t="s">
        <v>15</v>
      </c>
      <c r="C8" s="11">
        <f>COUNTIF('ADC (RD)'!K3:K2000,"?*")</f>
        <v>71</v>
      </c>
      <c r="D8" s="12">
        <f>COUNTIF('ADC (RD)'!K3:K2000,"Completed")</f>
        <v>4</v>
      </c>
      <c r="E8" s="13">
        <f>COUNTIF('ADC (RD)'!K3:K2000,"On Track")</f>
        <v>2</v>
      </c>
      <c r="F8" s="14">
        <f>COUNTIF('ADC (RD)'!K3:K2000,"In Progress")</f>
        <v>44</v>
      </c>
      <c r="G8" s="15">
        <f>COUNTIF('ADC (RD)'!K3:K2000,"Pending/Blocked")</f>
        <v>19</v>
      </c>
      <c r="H8" s="16">
        <f>COUNTIF('ADC (RD)'!K3:K2000,"Not Started")</f>
        <v>2</v>
      </c>
      <c r="I8" s="17">
        <f t="shared" si="1"/>
        <v>0.08450704225</v>
      </c>
      <c r="J8" s="18">
        <f>COUNTIF('ADC (RD)'!L3:L2000,"*🔴*")</f>
        <v>36</v>
      </c>
    </row>
    <row r="9">
      <c r="A9" s="9">
        <v>3.0</v>
      </c>
      <c r="B9" s="10" t="s">
        <v>16</v>
      </c>
      <c r="C9" s="11">
        <f>COUNTIF('ADC (UD)'!K3:K2000,"?*")</f>
        <v>9</v>
      </c>
      <c r="D9" s="12">
        <f>COUNTIF('ADC (UD)'!K3:K2000,"Completed")</f>
        <v>0</v>
      </c>
      <c r="E9" s="13">
        <f>COUNTIF('ADC (UD)'!K3:K2000,"On Track")</f>
        <v>0</v>
      </c>
      <c r="F9" s="14">
        <f>COUNTIF('ADC (UD)'!K3:K2000,"In Progress")</f>
        <v>6</v>
      </c>
      <c r="G9" s="15">
        <f>COUNTIF('ADC (UD)'!K3:K2000,"Pending/Blocked")</f>
        <v>3</v>
      </c>
      <c r="H9" s="16">
        <f>COUNTIF('ADC (UD)'!K3:K2000,"Not Started")</f>
        <v>0</v>
      </c>
      <c r="I9" s="17">
        <f t="shared" si="1"/>
        <v>0</v>
      </c>
      <c r="J9" s="18">
        <f>COUNTIF('ADC (UD)'!L3:L2000,"*🔴*")</f>
        <v>2</v>
      </c>
    </row>
    <row r="10">
      <c r="A10" s="9">
        <v>4.0</v>
      </c>
      <c r="B10" s="10" t="s">
        <v>17</v>
      </c>
      <c r="C10" s="11">
        <f>COUNTIF('ADC (J)'!K3:K2000,"?*")</f>
        <v>12</v>
      </c>
      <c r="D10" s="12">
        <f>COUNTIF('ADC (J)'!K3:K2000,"Completed")</f>
        <v>1</v>
      </c>
      <c r="E10" s="13">
        <f>COUNTIF('ADC (J)'!K3:K2000,"On Track")</f>
        <v>0</v>
      </c>
      <c r="F10" s="14">
        <f>COUNTIF('ADC (J)'!K3:K2000,"In Progress")</f>
        <v>5</v>
      </c>
      <c r="G10" s="15">
        <f>COUNTIF('ADC (J)'!K3:K2000,"Pending/Blocked")</f>
        <v>6</v>
      </c>
      <c r="H10" s="16">
        <f>COUNTIF('ADC (J)'!K3:K2000,"Not Started")</f>
        <v>0</v>
      </c>
      <c r="I10" s="17">
        <f t="shared" si="1"/>
        <v>0.08333333333</v>
      </c>
      <c r="J10" s="18">
        <f>COUNTIF('ADC (J)'!L3:L2000,"*🔴*")</f>
        <v>3</v>
      </c>
    </row>
    <row r="11">
      <c r="A11" s="9">
        <v>5.0</v>
      </c>
      <c r="B11" s="10" t="s">
        <v>18</v>
      </c>
      <c r="C11" s="11">
        <f>COUNTIF('ADC (K)'!K3:K2000,"?*")</f>
        <v>10</v>
      </c>
      <c r="D11" s="12">
        <f>COUNTIF('ADC (K)'!K3:K2000,"Completed")</f>
        <v>0</v>
      </c>
      <c r="E11" s="13">
        <f>COUNTIF('ADC (K)'!K3:K2000,"On Track")</f>
        <v>0</v>
      </c>
      <c r="F11" s="14">
        <f>COUNTIF('ADC (K)'!K3:K2000,"In Progress")</f>
        <v>6</v>
      </c>
      <c r="G11" s="15">
        <f>COUNTIF('ADC (K)'!K3:K2000,"Pending/Blocked")</f>
        <v>4</v>
      </c>
      <c r="H11" s="16">
        <f>COUNTIF('ADC (K)'!K3:K2000,"Not Started")</f>
        <v>0</v>
      </c>
      <c r="I11" s="17">
        <f t="shared" si="1"/>
        <v>0</v>
      </c>
      <c r="J11" s="18">
        <f>COUNTIF('ADC (K)'!L3:L2000,"*🔴*")</f>
        <v>5</v>
      </c>
    </row>
    <row r="12">
      <c r="A12" s="9">
        <v>6.0</v>
      </c>
      <c r="B12" s="10" t="s">
        <v>19</v>
      </c>
      <c r="C12" s="11">
        <f>COUNTIF(CMFO!K3:K2000,"?*")</f>
        <v>39</v>
      </c>
      <c r="D12" s="12">
        <f>COUNTIF(CMFO!K3:K2000,"Completed")</f>
        <v>0</v>
      </c>
      <c r="E12" s="13">
        <f>COUNTIF(CMFO!K3:K2000,"On Track")</f>
        <v>0</v>
      </c>
      <c r="F12" s="14">
        <f>COUNTIF(CMFO!K3:K2000,"In Progress")</f>
        <v>13</v>
      </c>
      <c r="G12" s="15">
        <f>COUNTIF(CMFO!K3:K2000,"Pending/Blocked")</f>
        <v>26</v>
      </c>
      <c r="H12" s="16">
        <f>COUNTIF(CMFO!K3:K2000,"Not Started")</f>
        <v>0</v>
      </c>
      <c r="I12" s="17">
        <f t="shared" si="1"/>
        <v>0</v>
      </c>
      <c r="J12" s="18">
        <f>COUNTIF(CMFO!L3:L2000,"*🔴*")</f>
        <v>20</v>
      </c>
    </row>
    <row r="13">
      <c r="A13" s="9">
        <v>7.0</v>
      </c>
      <c r="B13" s="10" t="s">
        <v>20</v>
      </c>
      <c r="C13" s="11">
        <f>COUNTIF('AC (G)'!K3:K2000,"?*")</f>
        <v>30</v>
      </c>
      <c r="D13" s="12">
        <f>COUNTIF('AC (G)'!K3:K2000,"Completed")</f>
        <v>3</v>
      </c>
      <c r="E13" s="13">
        <f>COUNTIF('AC (G)'!K3:K2000,"On Track")</f>
        <v>1</v>
      </c>
      <c r="F13" s="14">
        <f>COUNTIF('AC (G)'!K3:K2000,"In Progress")</f>
        <v>18</v>
      </c>
      <c r="G13" s="15">
        <f>COUNTIF('AC (G)'!K3:K2000,"Pending/Blocked")</f>
        <v>8</v>
      </c>
      <c r="H13" s="16">
        <f>COUNTIF('AC (G)'!K3:K2000,"Not Started")</f>
        <v>0</v>
      </c>
      <c r="I13" s="17">
        <f t="shared" si="1"/>
        <v>0.1333333333</v>
      </c>
      <c r="J13" s="18">
        <f>COUNTIF('AC (G)'!L3:L2000,"*🔴*")</f>
        <v>11</v>
      </c>
    </row>
    <row r="14">
      <c r="A14" s="9">
        <v>8.0</v>
      </c>
      <c r="B14" s="10" t="s">
        <v>21</v>
      </c>
      <c r="C14" s="11">
        <f>COUNTIF(DRO!K3:K2000,"?*")</f>
        <v>18</v>
      </c>
      <c r="D14" s="12">
        <f>COUNTIF(DRO!K3:K2000,"Completed")</f>
        <v>0</v>
      </c>
      <c r="E14" s="13">
        <f>COUNTIF(DRO!K3:K2000,"On Track")</f>
        <v>0</v>
      </c>
      <c r="F14" s="14">
        <f>COUNTIF(DRO!K3:K2000,"In Progress")</f>
        <v>13</v>
      </c>
      <c r="G14" s="15">
        <f>COUNTIF(DRO!K3:K2000,"Pending/Blocked")</f>
        <v>5</v>
      </c>
      <c r="H14" s="16">
        <f>COUNTIF(DRO!K3:K2000,"Not Started")</f>
        <v>0</v>
      </c>
      <c r="I14" s="17">
        <f t="shared" si="1"/>
        <v>0</v>
      </c>
      <c r="J14" s="18">
        <f>COUNTIF(DRO!L3:L2000,"*🔴*")</f>
        <v>5</v>
      </c>
    </row>
    <row r="15">
      <c r="A15" s="9">
        <v>9.0</v>
      </c>
      <c r="B15" s="10" t="s">
        <v>22</v>
      </c>
      <c r="C15" s="11">
        <f>COUNTIF('SDM Samrala'!K3:K2000,"?*")</f>
        <v>6</v>
      </c>
      <c r="D15" s="12">
        <f>COUNTIF('SDM Samrala'!K3:K2000,"Completed")</f>
        <v>0</v>
      </c>
      <c r="E15" s="13">
        <f>COUNTIF('SDM Samrala'!K3:K2000,"On Track")</f>
        <v>0</v>
      </c>
      <c r="F15" s="14">
        <f>COUNTIF('SDM Samrala'!K3:K2000,"In Progress")</f>
        <v>1</v>
      </c>
      <c r="G15" s="15">
        <f>COUNTIF('SDM Samrala'!K3:K2000,"Pending/Blocked")</f>
        <v>5</v>
      </c>
      <c r="H15" s="16">
        <f>COUNTIF('SDM Samrala'!K3:K2000,"Not Started")</f>
        <v>0</v>
      </c>
      <c r="I15" s="17">
        <f t="shared" si="1"/>
        <v>0</v>
      </c>
      <c r="J15" s="18">
        <f>COUNTIF('SDM Samrala'!L3:L2000,"*🔴*")</f>
        <v>2</v>
      </c>
    </row>
    <row r="16">
      <c r="A16" s="9">
        <v>10.0</v>
      </c>
      <c r="B16" s="10" t="s">
        <v>23</v>
      </c>
      <c r="C16" s="11">
        <f>COUNTIF('SDM Jagraon'!K3:K2000,"?*")</f>
        <v>6</v>
      </c>
      <c r="D16" s="12">
        <f>COUNTIF('SDM Jagraon'!K3:K2000,"Completed")</f>
        <v>0</v>
      </c>
      <c r="E16" s="13">
        <f>COUNTIF('SDM Jagraon'!K3:K2000,"On Track")</f>
        <v>0</v>
      </c>
      <c r="F16" s="14">
        <f>COUNTIF('SDM Jagraon'!K3:K2000,"In Progress")</f>
        <v>2</v>
      </c>
      <c r="G16" s="15">
        <f>COUNTIF('SDM Jagraon'!K3:K2000,"Pending/Blocked")</f>
        <v>4</v>
      </c>
      <c r="H16" s="16">
        <f>COUNTIF('SDM Jagraon'!K3:K2000,"Not Started")</f>
        <v>0</v>
      </c>
      <c r="I16" s="17">
        <f t="shared" si="1"/>
        <v>0</v>
      </c>
      <c r="J16" s="18">
        <f>COUNTIF('SDM Jagraon'!L3:L2000,"*🔴*")</f>
        <v>1</v>
      </c>
    </row>
    <row r="17">
      <c r="A17" s="9">
        <v>11.0</v>
      </c>
      <c r="B17" s="10" t="s">
        <v>24</v>
      </c>
      <c r="C17" s="11">
        <f>COUNTIF('SDM Payal'!K3:K2000,"?*")</f>
        <v>6</v>
      </c>
      <c r="D17" s="12">
        <f>COUNTIF('SDM Payal'!K3:K2000,"Completed")</f>
        <v>0</v>
      </c>
      <c r="E17" s="13">
        <f>COUNTIF('SDM Payal'!K3:K2000,"On Track")</f>
        <v>0</v>
      </c>
      <c r="F17" s="14">
        <f>COUNTIF('SDM Payal'!K3:K2000,"In Progress")</f>
        <v>5</v>
      </c>
      <c r="G17" s="15">
        <f>COUNTIF('SDM Payal'!K3:K2000,"Pending/Blocked")</f>
        <v>1</v>
      </c>
      <c r="H17" s="16">
        <f>COUNTIF('SDM Payal'!K3:K2000,"Not Started")</f>
        <v>0</v>
      </c>
      <c r="I17" s="17">
        <f t="shared" si="1"/>
        <v>0</v>
      </c>
      <c r="J17" s="18">
        <f>COUNTIF('SDM Payal'!L3:L2000,"*🔴*")</f>
        <v>1</v>
      </c>
    </row>
    <row r="18">
      <c r="A18" s="9">
        <v>12.0</v>
      </c>
      <c r="B18" s="10" t="s">
        <v>25</v>
      </c>
      <c r="C18" s="11">
        <f>COUNTIF('SDM East'!K3:K2000,"?*")</f>
        <v>9</v>
      </c>
      <c r="D18" s="12">
        <f>COUNTIF('SDM East'!K3:K2000,"Completed")</f>
        <v>0</v>
      </c>
      <c r="E18" s="13">
        <f>COUNTIF('SDM East'!K3:K2000,"On Track")</f>
        <v>0</v>
      </c>
      <c r="F18" s="14">
        <f>COUNTIF('SDM East'!K3:K2000,"In Progress")</f>
        <v>3</v>
      </c>
      <c r="G18" s="15">
        <f>COUNTIF('SDM East'!K3:K2000,"Pending/Blocked")</f>
        <v>6</v>
      </c>
      <c r="H18" s="16">
        <f>COUNTIF('SDM East'!K3:K2000,"Not Started")</f>
        <v>0</v>
      </c>
      <c r="I18" s="17">
        <f t="shared" si="1"/>
        <v>0</v>
      </c>
      <c r="J18" s="18">
        <f>COUNTIF('SDM East'!L3:L2000,"*🔴*")</f>
        <v>0</v>
      </c>
    </row>
    <row r="19">
      <c r="A19" s="9">
        <v>13.0</v>
      </c>
      <c r="B19" s="10" t="s">
        <v>26</v>
      </c>
      <c r="C19" s="11">
        <f>COUNTIF('SDM West'!K3:K2000,"?*")</f>
        <v>10</v>
      </c>
      <c r="D19" s="12">
        <f>COUNTIF('SDM West'!K3:K2000,"Completed")</f>
        <v>0</v>
      </c>
      <c r="E19" s="13">
        <f>COUNTIF('SDM West'!K3:K2000,"On Track")</f>
        <v>0</v>
      </c>
      <c r="F19" s="14">
        <f>COUNTIF('SDM West'!K3:K2000,"In Progress")</f>
        <v>5</v>
      </c>
      <c r="G19" s="15">
        <f>COUNTIF('SDM West'!K3:K2000,"Pending/Blocked")</f>
        <v>5</v>
      </c>
      <c r="H19" s="16">
        <f>COUNTIF('SDM West'!K3:K2000,"Not Started")</f>
        <v>0</v>
      </c>
      <c r="I19" s="17">
        <f t="shared" si="1"/>
        <v>0</v>
      </c>
      <c r="J19" s="18">
        <f>COUNTIF('SDM West'!L3:L2000,"*🔴*")</f>
        <v>3</v>
      </c>
    </row>
    <row r="20">
      <c r="A20" s="9">
        <v>14.0</v>
      </c>
      <c r="B20" s="10" t="s">
        <v>27</v>
      </c>
      <c r="C20" s="11">
        <f>COUNTIF('SDM Raikot'!K3:K2000,"?*")</f>
        <v>7</v>
      </c>
      <c r="D20" s="12">
        <f>COUNTIF('SDM Raikot'!K3:K2000,"Completed")</f>
        <v>1</v>
      </c>
      <c r="E20" s="13">
        <f>COUNTIF('SDM Raikot'!K3:K2000,"On Track")</f>
        <v>0</v>
      </c>
      <c r="F20" s="14">
        <f>COUNTIF('SDM Raikot'!K3:K2000,"In Progress")</f>
        <v>4</v>
      </c>
      <c r="G20" s="15">
        <f>COUNTIF('SDM Raikot'!K3:K2000,"Pending/Blocked")</f>
        <v>2</v>
      </c>
      <c r="H20" s="16">
        <f>COUNTIF('SDM Raikot'!K3:K2000,"Not Started")</f>
        <v>0</v>
      </c>
      <c r="I20" s="17">
        <f t="shared" si="1"/>
        <v>0.1428571429</v>
      </c>
      <c r="J20" s="18">
        <f>COUNTIF('SDM Raikot'!L3:L2000,"*🔴*")</f>
        <v>1</v>
      </c>
    </row>
    <row r="21" ht="15.75" customHeight="1">
      <c r="A21" s="9">
        <v>15.0</v>
      </c>
      <c r="B21" s="10" t="s">
        <v>28</v>
      </c>
      <c r="C21" s="11">
        <f>COUNTIF(RTA!K3:K2000,"?*")</f>
        <v>5</v>
      </c>
      <c r="D21" s="12">
        <f>COUNTIF(RTA!K3:K2000,"Completed")</f>
        <v>0</v>
      </c>
      <c r="E21" s="13">
        <f>COUNTIF(RTA!K3:K2000,"On Track")</f>
        <v>0</v>
      </c>
      <c r="F21" s="14">
        <f>COUNTIF(RTA!K3:K2000,"In Progress")</f>
        <v>5</v>
      </c>
      <c r="G21" s="15">
        <f>COUNTIF(RTA!K3:K2000,"Pending/Blocked")</f>
        <v>0</v>
      </c>
      <c r="H21" s="16">
        <f>COUNTIF(RTA!K3:K2000,"Not Started")</f>
        <v>0</v>
      </c>
      <c r="I21" s="17">
        <f t="shared" si="1"/>
        <v>0</v>
      </c>
      <c r="J21" s="18">
        <f>COUNTIF(RTA!L3:L2000,"*🔴*")</f>
        <v>0</v>
      </c>
    </row>
    <row r="22" ht="15.75" customHeight="1">
      <c r="A22" s="19"/>
      <c r="B22" s="20" t="s">
        <v>29</v>
      </c>
      <c r="C22" s="21">
        <f t="shared" ref="C22:H22" si="2">SUM(C7:C21)</f>
        <v>349</v>
      </c>
      <c r="D22" s="21">
        <f t="shared" si="2"/>
        <v>10</v>
      </c>
      <c r="E22" s="21">
        <f t="shared" si="2"/>
        <v>13</v>
      </c>
      <c r="F22" s="21">
        <f t="shared" si="2"/>
        <v>212</v>
      </c>
      <c r="G22" s="21">
        <f t="shared" si="2"/>
        <v>112</v>
      </c>
      <c r="H22" s="21">
        <f t="shared" si="2"/>
        <v>2</v>
      </c>
      <c r="I22" s="22">
        <f t="shared" si="1"/>
        <v>0.0659025788</v>
      </c>
      <c r="J22" s="21">
        <f>SUM(J7:J21)</f>
        <v>144</v>
      </c>
    </row>
    <row r="23" ht="15.75" customHeight="1"/>
    <row r="24" ht="15.0" customHeight="1">
      <c r="B24" s="23" t="s">
        <v>30</v>
      </c>
      <c r="C24" s="2"/>
      <c r="D24" s="2"/>
      <c r="E24" s="2"/>
      <c r="F24" s="2"/>
      <c r="G24" s="2"/>
      <c r="H24" s="2"/>
      <c r="I24" s="2"/>
      <c r="J24" s="3"/>
    </row>
    <row r="25" ht="15.0" customHeight="1">
      <c r="B25" s="24" t="s">
        <v>31</v>
      </c>
      <c r="C25" s="2"/>
      <c r="D25" s="2"/>
      <c r="E25" s="2"/>
      <c r="F25" s="2"/>
      <c r="G25" s="2"/>
      <c r="H25" s="2"/>
      <c r="I25" s="2"/>
      <c r="J25" s="3"/>
    </row>
    <row r="26" ht="15.0" customHeight="1">
      <c r="B26" s="24" t="s">
        <v>32</v>
      </c>
      <c r="C26" s="2"/>
      <c r="D26" s="2"/>
      <c r="E26" s="2"/>
      <c r="F26" s="2"/>
      <c r="G26" s="2"/>
      <c r="H26" s="2"/>
      <c r="I26" s="2"/>
      <c r="J26" s="3"/>
    </row>
    <row r="27" ht="15.0" customHeight="1">
      <c r="B27" s="24" t="s">
        <v>33</v>
      </c>
      <c r="C27" s="2"/>
      <c r="D27" s="2"/>
      <c r="E27" s="2"/>
      <c r="F27" s="2"/>
      <c r="G27" s="2"/>
      <c r="H27" s="2"/>
      <c r="I27" s="2"/>
      <c r="J27" s="3"/>
    </row>
    <row r="28" ht="15.0" customHeight="1">
      <c r="B28" s="24" t="s">
        <v>34</v>
      </c>
      <c r="C28" s="2"/>
      <c r="D28" s="2"/>
      <c r="E28" s="2"/>
      <c r="F28" s="2"/>
      <c r="G28" s="2"/>
      <c r="H28" s="2"/>
      <c r="I28" s="2"/>
      <c r="J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7:J27"/>
    <mergeCell ref="B28:J28"/>
    <mergeCell ref="B1:J1"/>
    <mergeCell ref="B2:J2"/>
    <mergeCell ref="B3:J3"/>
    <mergeCell ref="C4:J4"/>
    <mergeCell ref="B24:J24"/>
    <mergeCell ref="B25:J25"/>
    <mergeCell ref="B26:J2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98.0"/>
    <col customWidth="1" min="4" max="26" width="8.71"/>
  </cols>
  <sheetData>
    <row r="1" ht="25.5" customHeight="1">
      <c r="B1" s="1" t="s">
        <v>35</v>
      </c>
      <c r="C1" s="3"/>
    </row>
    <row r="2" ht="15.0" customHeight="1">
      <c r="B2" s="25" t="s">
        <v>36</v>
      </c>
      <c r="C2" s="3"/>
    </row>
    <row r="4">
      <c r="B4" s="26" t="s">
        <v>37</v>
      </c>
      <c r="C4" s="27" t="s">
        <v>38</v>
      </c>
    </row>
    <row r="5">
      <c r="B5" s="26" t="s">
        <v>39</v>
      </c>
      <c r="C5" s="27" t="s">
        <v>40</v>
      </c>
    </row>
    <row r="7">
      <c r="B7" s="28" t="s">
        <v>41</v>
      </c>
      <c r="C7" s="28" t="s">
        <v>42</v>
      </c>
    </row>
    <row r="9">
      <c r="B9" s="29" t="s">
        <v>43</v>
      </c>
      <c r="C9" s="29" t="s">
        <v>44</v>
      </c>
    </row>
    <row r="10">
      <c r="B10" s="26" t="s">
        <v>45</v>
      </c>
      <c r="C10" s="27" t="s">
        <v>46</v>
      </c>
    </row>
    <row r="11">
      <c r="B11" s="26" t="s">
        <v>47</v>
      </c>
      <c r="C11" s="27" t="s">
        <v>48</v>
      </c>
    </row>
    <row r="12">
      <c r="B12" s="30" t="s">
        <v>49</v>
      </c>
      <c r="C12" s="31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2:C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min="17" max="17" width="6.0"/>
    <col customWidth="1" min="18" max="18" width="10.0"/>
    <col customWidth="1" min="19" max="26" width="8.71"/>
  </cols>
  <sheetData>
    <row r="1" ht="21.75" customHeight="1">
      <c r="A1" s="3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3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71</v>
      </c>
      <c r="C4" s="37" t="s">
        <v>72</v>
      </c>
      <c r="D4" s="38"/>
      <c r="E4" s="39"/>
      <c r="F4" s="40"/>
      <c r="G4" s="41"/>
      <c r="H4" s="42">
        <v>7669.0</v>
      </c>
      <c r="I4" s="43"/>
      <c r="J4" s="43"/>
      <c r="K4" s="43"/>
      <c r="L4" s="43"/>
      <c r="M4" s="43"/>
      <c r="N4" s="43"/>
      <c r="O4" s="43"/>
      <c r="P4" s="44" t="s">
        <v>73</v>
      </c>
      <c r="Q4" s="45"/>
      <c r="R4" s="45"/>
    </row>
    <row r="5">
      <c r="A5" s="46"/>
      <c r="B5" s="47"/>
      <c r="C5" s="37" t="s">
        <v>74</v>
      </c>
      <c r="D5" s="38"/>
      <c r="E5" s="39"/>
      <c r="F5" s="40"/>
      <c r="G5" s="41"/>
      <c r="H5" s="42">
        <v>921.0</v>
      </c>
      <c r="I5" s="43"/>
      <c r="J5" s="43"/>
      <c r="K5" s="43"/>
      <c r="L5" s="43"/>
      <c r="M5" s="43"/>
      <c r="N5" s="43"/>
      <c r="O5" s="43"/>
      <c r="P5" s="44" t="s">
        <v>75</v>
      </c>
      <c r="Q5" s="45"/>
      <c r="R5" s="45"/>
    </row>
    <row r="6">
      <c r="A6" s="46"/>
      <c r="B6" s="47"/>
      <c r="C6" s="37" t="s">
        <v>76</v>
      </c>
      <c r="D6" s="38"/>
      <c r="E6" s="39"/>
      <c r="F6" s="40"/>
      <c r="G6" s="41"/>
      <c r="H6" s="42">
        <v>186.0</v>
      </c>
      <c r="I6" s="43"/>
      <c r="J6" s="43"/>
      <c r="K6" s="43"/>
      <c r="L6" s="43"/>
      <c r="M6" s="43"/>
      <c r="N6" s="43"/>
      <c r="O6" s="43"/>
      <c r="P6" s="44" t="s">
        <v>77</v>
      </c>
      <c r="Q6" s="45"/>
      <c r="R6" s="45"/>
    </row>
    <row r="7">
      <c r="A7" s="46"/>
      <c r="B7" s="47"/>
      <c r="C7" s="37" t="s">
        <v>78</v>
      </c>
      <c r="D7" s="38"/>
      <c r="E7" s="39"/>
      <c r="F7" s="40"/>
      <c r="G7" s="41"/>
      <c r="H7" s="42">
        <v>6.0</v>
      </c>
      <c r="I7" s="43"/>
      <c r="J7" s="43"/>
      <c r="K7" s="43"/>
      <c r="L7" s="43"/>
      <c r="M7" s="43"/>
      <c r="N7" s="43"/>
      <c r="O7" s="43"/>
      <c r="P7" s="44" t="s">
        <v>79</v>
      </c>
      <c r="Q7" s="45"/>
      <c r="R7" s="45"/>
    </row>
    <row r="8">
      <c r="A8" s="48"/>
      <c r="B8" s="49"/>
      <c r="C8" s="50" t="s">
        <v>80</v>
      </c>
      <c r="D8" s="51" t="s">
        <v>81</v>
      </c>
      <c r="E8" s="52"/>
      <c r="F8" s="53"/>
      <c r="G8" s="54"/>
      <c r="H8" s="55">
        <v>921.0</v>
      </c>
      <c r="I8" s="56" t="str">
        <f t="shared" ref="I8:I32" si="1">IF(AND(ISNUMBER(G8),ISNUMBER(H8)),H8-G8,"")</f>
        <v/>
      </c>
      <c r="J8" s="57" t="str">
        <f t="shared" ref="J8:J32" si="2">IF(AND(ISNUMBER(E8),E8&gt;0,ISNUMBER(H8)),H8/E8,"")</f>
        <v/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 t="s">
        <v>83</v>
      </c>
      <c r="O8" s="60" t="s">
        <v>84</v>
      </c>
      <c r="P8" s="61" t="s">
        <v>85</v>
      </c>
      <c r="Q8" s="60"/>
      <c r="R8" s="60" t="s">
        <v>86</v>
      </c>
    </row>
    <row r="9">
      <c r="A9" s="48"/>
      <c r="B9" s="49"/>
      <c r="C9" s="50" t="s">
        <v>87</v>
      </c>
      <c r="D9" s="51" t="s">
        <v>81</v>
      </c>
      <c r="E9" s="52"/>
      <c r="F9" s="53"/>
      <c r="G9" s="54"/>
      <c r="H9" s="55">
        <v>7669.0</v>
      </c>
      <c r="I9" s="56" t="str">
        <f t="shared" si="1"/>
        <v/>
      </c>
      <c r="J9" s="57" t="str">
        <f t="shared" si="2"/>
        <v/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 t="s">
        <v>83</v>
      </c>
      <c r="O9" s="60" t="s">
        <v>84</v>
      </c>
      <c r="P9" s="61" t="s">
        <v>88</v>
      </c>
      <c r="Q9" s="60"/>
      <c r="R9" s="60" t="s">
        <v>89</v>
      </c>
    </row>
    <row r="10">
      <c r="A10" s="48"/>
      <c r="B10" s="49"/>
      <c r="C10" s="50" t="s">
        <v>90</v>
      </c>
      <c r="D10" s="51" t="s">
        <v>81</v>
      </c>
      <c r="E10" s="52"/>
      <c r="F10" s="53"/>
      <c r="G10" s="56">
        <v>832.0</v>
      </c>
      <c r="H10" s="55">
        <v>795.0</v>
      </c>
      <c r="I10" s="56">
        <f t="shared" si="1"/>
        <v>-37</v>
      </c>
      <c r="J10" s="57" t="str">
        <f t="shared" si="2"/>
        <v/>
      </c>
      <c r="K10" s="54" t="s">
        <v>9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 t="s">
        <v>83</v>
      </c>
      <c r="O10" s="60" t="s">
        <v>84</v>
      </c>
      <c r="P10" s="61" t="s">
        <v>91</v>
      </c>
      <c r="Q10" s="60"/>
      <c r="R10" s="60" t="s">
        <v>92</v>
      </c>
    </row>
    <row r="11">
      <c r="A11" s="48"/>
      <c r="B11" s="49"/>
      <c r="C11" s="50" t="s">
        <v>93</v>
      </c>
      <c r="D11" s="51" t="s">
        <v>81</v>
      </c>
      <c r="E11" s="52"/>
      <c r="F11" s="53"/>
      <c r="G11" s="56">
        <v>18.0</v>
      </c>
      <c r="H11" s="55">
        <v>20.0</v>
      </c>
      <c r="I11" s="56">
        <f t="shared" si="1"/>
        <v>2</v>
      </c>
      <c r="J11" s="57" t="str">
        <f t="shared" si="2"/>
        <v/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 t="s">
        <v>83</v>
      </c>
      <c r="O11" s="60" t="s">
        <v>84</v>
      </c>
      <c r="P11" s="61" t="s">
        <v>94</v>
      </c>
      <c r="Q11" s="60"/>
      <c r="R11" s="60" t="s">
        <v>95</v>
      </c>
    </row>
    <row r="12">
      <c r="A12" s="48"/>
      <c r="B12" s="49"/>
      <c r="C12" s="50" t="s">
        <v>96</v>
      </c>
      <c r="D12" s="51" t="s">
        <v>81</v>
      </c>
      <c r="E12" s="52"/>
      <c r="F12" s="53"/>
      <c r="G12" s="56">
        <v>16.0</v>
      </c>
      <c r="H12" s="55">
        <v>19.0</v>
      </c>
      <c r="I12" s="56">
        <f t="shared" si="1"/>
        <v>3</v>
      </c>
      <c r="J12" s="57" t="str">
        <f t="shared" si="2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 t="s">
        <v>83</v>
      </c>
      <c r="O12" s="60" t="s">
        <v>84</v>
      </c>
      <c r="P12" s="61" t="s">
        <v>97</v>
      </c>
      <c r="Q12" s="60"/>
      <c r="R12" s="60" t="s">
        <v>98</v>
      </c>
    </row>
    <row r="13">
      <c r="A13" s="48"/>
      <c r="B13" s="49"/>
      <c r="C13" s="50" t="s">
        <v>99</v>
      </c>
      <c r="D13" s="51" t="s">
        <v>81</v>
      </c>
      <c r="E13" s="52"/>
      <c r="F13" s="53"/>
      <c r="G13" s="56">
        <v>511.0</v>
      </c>
      <c r="H13" s="55">
        <v>582.0</v>
      </c>
      <c r="I13" s="56">
        <f t="shared" si="1"/>
        <v>71</v>
      </c>
      <c r="J13" s="57" t="str">
        <f t="shared" si="2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/>
      </c>
      <c r="M13" s="54" t="s">
        <v>82</v>
      </c>
      <c r="N13" s="59" t="s">
        <v>83</v>
      </c>
      <c r="O13" s="60" t="s">
        <v>84</v>
      </c>
      <c r="P13" s="61" t="s">
        <v>100</v>
      </c>
      <c r="Q13" s="60"/>
      <c r="R13" s="60" t="s">
        <v>101</v>
      </c>
    </row>
    <row r="14">
      <c r="A14" s="48"/>
      <c r="B14" s="49"/>
      <c r="C14" s="50" t="s">
        <v>102</v>
      </c>
      <c r="D14" s="51" t="s">
        <v>81</v>
      </c>
      <c r="E14" s="52"/>
      <c r="F14" s="53"/>
      <c r="G14" s="56">
        <v>51.0</v>
      </c>
      <c r="H14" s="55">
        <v>40.0</v>
      </c>
      <c r="I14" s="56">
        <f t="shared" si="1"/>
        <v>-11</v>
      </c>
      <c r="J14" s="57" t="str">
        <f t="shared" si="2"/>
        <v/>
      </c>
      <c r="K14" s="54" t="s">
        <v>9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/>
      </c>
      <c r="M14" s="54" t="s">
        <v>82</v>
      </c>
      <c r="N14" s="59" t="s">
        <v>83</v>
      </c>
      <c r="O14" s="60" t="s">
        <v>84</v>
      </c>
      <c r="P14" s="61" t="s">
        <v>103</v>
      </c>
      <c r="Q14" s="60"/>
      <c r="R14" s="60" t="s">
        <v>104</v>
      </c>
    </row>
    <row r="15">
      <c r="A15" s="48"/>
      <c r="B15" s="49"/>
      <c r="C15" s="50" t="s">
        <v>105</v>
      </c>
      <c r="D15" s="51" t="s">
        <v>81</v>
      </c>
      <c r="E15" s="52"/>
      <c r="F15" s="53"/>
      <c r="G15" s="56">
        <v>47.0</v>
      </c>
      <c r="H15" s="55">
        <v>33.0</v>
      </c>
      <c r="I15" s="56">
        <f t="shared" si="1"/>
        <v>-14</v>
      </c>
      <c r="J15" s="57" t="str">
        <f t="shared" si="2"/>
        <v/>
      </c>
      <c r="K15" s="54" t="s">
        <v>9</v>
      </c>
      <c r="L15" s="58" t="str">
        <f>IF(M15="Yes","🔴 BOTTOM",IF(M15="No","✓ Cleared",IF(Q15="MIN",IF(AND(ISNUMBER(F15),ISNUMBER(H15)),IF(H15&lt;F15*'Master Dashboard'!$B$4,"🔴 LOW",""),""),IF(Q15="MAX",IF(AND(ISNUMBER(F15),ISNUMBER(H15)),IF(H15&gt;F15,"🔴 HIGH",""),""),""))))</f>
        <v/>
      </c>
      <c r="M15" s="54" t="s">
        <v>82</v>
      </c>
      <c r="N15" s="59" t="s">
        <v>83</v>
      </c>
      <c r="O15" s="60" t="s">
        <v>84</v>
      </c>
      <c r="P15" s="61" t="s">
        <v>106</v>
      </c>
      <c r="Q15" s="60"/>
      <c r="R15" s="60" t="s">
        <v>107</v>
      </c>
    </row>
    <row r="16">
      <c r="A16" s="48"/>
      <c r="B16" s="49"/>
      <c r="C16" s="50" t="s">
        <v>108</v>
      </c>
      <c r="D16" s="51" t="s">
        <v>81</v>
      </c>
      <c r="E16" s="62">
        <v>20.0</v>
      </c>
      <c r="F16" s="63">
        <v>15.0</v>
      </c>
      <c r="G16" s="56">
        <v>2.0</v>
      </c>
      <c r="H16" s="55">
        <v>7.0</v>
      </c>
      <c r="I16" s="56">
        <f t="shared" si="1"/>
        <v>5</v>
      </c>
      <c r="J16" s="57">
        <f t="shared" si="2"/>
        <v>0.35</v>
      </c>
      <c r="K16" s="64" t="s">
        <v>9</v>
      </c>
      <c r="L16" s="58" t="str">
        <f>IF(M16="Yes","🔴 BOTTOM",IF(M16="No","✓ Cleared",IF(Q16="MIN",IF(AND(ISNUMBER(F16),ISNUMBER(H16)),IF(H16&lt;F16*'Master Dashboard'!$B$4,"🔴 LOW",""),""),IF(Q16="MAX",IF(AND(ISNUMBER(F16),ISNUMBER(H16)),IF(H16&gt;F16,"🔴 HIGH",""),""),""))))</f>
        <v>🔴 LOW</v>
      </c>
      <c r="M16" s="54" t="s">
        <v>82</v>
      </c>
      <c r="N16" s="59" t="s">
        <v>83</v>
      </c>
      <c r="O16" s="60" t="s">
        <v>84</v>
      </c>
      <c r="P16" s="61" t="s">
        <v>109</v>
      </c>
      <c r="Q16" s="60" t="s">
        <v>110</v>
      </c>
      <c r="R16" s="60" t="s">
        <v>111</v>
      </c>
    </row>
    <row r="17">
      <c r="A17" s="48"/>
      <c r="B17" s="49"/>
      <c r="C17" s="50" t="s">
        <v>112</v>
      </c>
      <c r="D17" s="51" t="s">
        <v>81</v>
      </c>
      <c r="E17" s="52"/>
      <c r="F17" s="63">
        <v>100.0</v>
      </c>
      <c r="G17" s="54"/>
      <c r="H17" s="55">
        <v>186.0</v>
      </c>
      <c r="I17" s="56" t="str">
        <f t="shared" si="1"/>
        <v/>
      </c>
      <c r="J17" s="57" t="str">
        <f t="shared" si="2"/>
        <v/>
      </c>
      <c r="K17" s="54" t="s">
        <v>10</v>
      </c>
      <c r="L17" s="58" t="str">
        <f>IF(M17="Yes","🔴 BOTTOM",IF(M17="No","✓ Cleared",IF(Q17="MIN",IF(AND(ISNUMBER(F17),ISNUMBER(H17)),IF(H17&lt;F17*'Master Dashboard'!$B$4,"🔴 LOW",""),""),IF(Q17="MAX",IF(AND(ISNUMBER(F17),ISNUMBER(H17)),IF(H17&gt;F17,"🔴 HIGH",""),""),""))))</f>
        <v>🔴 HIGH</v>
      </c>
      <c r="M17" s="54" t="s">
        <v>82</v>
      </c>
      <c r="N17" s="59" t="s">
        <v>83</v>
      </c>
      <c r="O17" s="60" t="s">
        <v>84</v>
      </c>
      <c r="P17" s="61" t="s">
        <v>113</v>
      </c>
      <c r="Q17" s="60" t="s">
        <v>114</v>
      </c>
      <c r="R17" s="60" t="s">
        <v>115</v>
      </c>
    </row>
    <row r="18">
      <c r="A18" s="48"/>
      <c r="B18" s="49"/>
      <c r="C18" s="50" t="s">
        <v>116</v>
      </c>
      <c r="D18" s="51" t="s">
        <v>117</v>
      </c>
      <c r="E18" s="62">
        <v>6.0</v>
      </c>
      <c r="F18" s="63">
        <v>0.0</v>
      </c>
      <c r="G18" s="54"/>
      <c r="H18" s="55">
        <v>6.0</v>
      </c>
      <c r="I18" s="56" t="str">
        <f t="shared" si="1"/>
        <v/>
      </c>
      <c r="J18" s="57">
        <f t="shared" si="2"/>
        <v>1</v>
      </c>
      <c r="K18" s="54" t="s">
        <v>10</v>
      </c>
      <c r="L18" s="58" t="str">
        <f>IF(M18="Yes","🔴 BOTTOM",IF(M18="No","✓ Cleared",IF(Q18="MIN",IF(AND(ISNUMBER(F18),ISNUMBER(H18)),IF(H18&lt;F18*'Master Dashboard'!$B$4,"🔴 LOW",""),""),IF(Q18="MAX",IF(AND(ISNUMBER(F18),ISNUMBER(H18)),IF(H18&gt;F18,"🔴 HIGH",""),""),""))))</f>
        <v>🔴 HIGH</v>
      </c>
      <c r="M18" s="54" t="s">
        <v>82</v>
      </c>
      <c r="N18" s="59" t="s">
        <v>83</v>
      </c>
      <c r="O18" s="60" t="s">
        <v>84</v>
      </c>
      <c r="P18" s="61" t="s">
        <v>118</v>
      </c>
      <c r="Q18" s="60" t="s">
        <v>114</v>
      </c>
      <c r="R18" s="60" t="s">
        <v>119</v>
      </c>
    </row>
    <row r="19">
      <c r="A19" s="48"/>
      <c r="B19" s="49"/>
      <c r="C19" s="50" t="s">
        <v>120</v>
      </c>
      <c r="D19" s="51" t="s">
        <v>81</v>
      </c>
      <c r="E19" s="62">
        <v>50.0</v>
      </c>
      <c r="F19" s="63">
        <v>50.0</v>
      </c>
      <c r="G19" s="54"/>
      <c r="H19" s="55">
        <v>25.0</v>
      </c>
      <c r="I19" s="56" t="str">
        <f t="shared" si="1"/>
        <v/>
      </c>
      <c r="J19" s="57">
        <f t="shared" si="2"/>
        <v>0.5</v>
      </c>
      <c r="K19" s="54" t="s">
        <v>9</v>
      </c>
      <c r="L19" s="58" t="str">
        <f>IF(M19="Yes","🔴 BOTTOM",IF(M19="No","✓ Cleared",IF(Q19="MIN",IF(AND(ISNUMBER(F19),ISNUMBER(H19)),IF(H19&lt;F19*'Master Dashboard'!$B$4,"🔴 LOW",""),""),IF(Q19="MAX",IF(AND(ISNUMBER(F19),ISNUMBER(H19)),IF(H19&gt;F19,"🔴 HIGH",""),""),""))))</f>
        <v>🔴 LOW</v>
      </c>
      <c r="M19" s="54" t="s">
        <v>82</v>
      </c>
      <c r="N19" s="59" t="s">
        <v>83</v>
      </c>
      <c r="O19" s="60" t="s">
        <v>84</v>
      </c>
      <c r="P19" s="61" t="s">
        <v>121</v>
      </c>
      <c r="Q19" s="60" t="s">
        <v>110</v>
      </c>
      <c r="R19" s="60" t="s">
        <v>122</v>
      </c>
    </row>
    <row r="20">
      <c r="A20" s="48"/>
      <c r="B20" s="49"/>
      <c r="C20" s="50" t="s">
        <v>123</v>
      </c>
      <c r="D20" s="51" t="s">
        <v>81</v>
      </c>
      <c r="E20" s="62">
        <v>50.0</v>
      </c>
      <c r="F20" s="63">
        <v>50.0</v>
      </c>
      <c r="G20" s="54"/>
      <c r="H20" s="55">
        <v>21.0</v>
      </c>
      <c r="I20" s="56" t="str">
        <f t="shared" si="1"/>
        <v/>
      </c>
      <c r="J20" s="57">
        <f t="shared" si="2"/>
        <v>0.42</v>
      </c>
      <c r="K20" s="54" t="s">
        <v>9</v>
      </c>
      <c r="L20" s="58" t="str">
        <f>IF(M20="Yes","🔴 BOTTOM",IF(M20="No","✓ Cleared",IF(Q20="MIN",IF(AND(ISNUMBER(F20),ISNUMBER(H20)),IF(H20&lt;F20*'Master Dashboard'!$B$4,"🔴 LOW",""),""),IF(Q20="MAX",IF(AND(ISNUMBER(F20),ISNUMBER(H20)),IF(H20&gt;F20,"🔴 HIGH",""),""),""))))</f>
        <v>🔴 LOW</v>
      </c>
      <c r="M20" s="54" t="s">
        <v>82</v>
      </c>
      <c r="N20" s="59" t="s">
        <v>83</v>
      </c>
      <c r="O20" s="60" t="s">
        <v>84</v>
      </c>
      <c r="P20" s="61" t="s">
        <v>124</v>
      </c>
      <c r="Q20" s="60" t="s">
        <v>110</v>
      </c>
      <c r="R20" s="60" t="s">
        <v>125</v>
      </c>
    </row>
    <row r="21" ht="15.75" customHeight="1">
      <c r="A21" s="48"/>
      <c r="B21" s="49"/>
      <c r="C21" s="50" t="s">
        <v>126</v>
      </c>
      <c r="D21" s="51" t="s">
        <v>81</v>
      </c>
      <c r="E21" s="62">
        <v>50.0</v>
      </c>
      <c r="F21" s="63">
        <v>50.0</v>
      </c>
      <c r="G21" s="54"/>
      <c r="H21" s="55">
        <v>79.0</v>
      </c>
      <c r="I21" s="56" t="str">
        <f t="shared" si="1"/>
        <v/>
      </c>
      <c r="J21" s="57">
        <f t="shared" si="2"/>
        <v>1.58</v>
      </c>
      <c r="K21" s="54" t="s">
        <v>9</v>
      </c>
      <c r="L21" s="58" t="str">
        <f>IF(M21="Yes","🔴 BOTTOM",IF(M21="No","✓ Cleared",IF(Q21="MIN",IF(AND(ISNUMBER(F21),ISNUMBER(H21)),IF(H21&lt;F21*'Master Dashboard'!$B$4,"🔴 LOW",""),""),IF(Q21="MAX",IF(AND(ISNUMBER(F21),ISNUMBER(H21)),IF(H21&gt;F21,"🔴 HIGH",""),""),""))))</f>
        <v/>
      </c>
      <c r="M21" s="54" t="s">
        <v>82</v>
      </c>
      <c r="N21" s="59" t="s">
        <v>83</v>
      </c>
      <c r="O21" s="60" t="s">
        <v>84</v>
      </c>
      <c r="P21" s="61" t="s">
        <v>127</v>
      </c>
      <c r="Q21" s="60" t="s">
        <v>110</v>
      </c>
      <c r="R21" s="60" t="s">
        <v>128</v>
      </c>
    </row>
    <row r="22" ht="15.75" customHeight="1">
      <c r="A22" s="48"/>
      <c r="B22" s="49"/>
      <c r="C22" s="50" t="s">
        <v>129</v>
      </c>
      <c r="D22" s="51" t="s">
        <v>81</v>
      </c>
      <c r="E22" s="62">
        <v>50.0</v>
      </c>
      <c r="F22" s="63">
        <v>50.0</v>
      </c>
      <c r="G22" s="54"/>
      <c r="H22" s="55">
        <v>117.0</v>
      </c>
      <c r="I22" s="56" t="str">
        <f t="shared" si="1"/>
        <v/>
      </c>
      <c r="J22" s="57">
        <f t="shared" si="2"/>
        <v>2.34</v>
      </c>
      <c r="K22" s="54" t="s">
        <v>9</v>
      </c>
      <c r="L22" s="58" t="str">
        <f>IF(M22="Yes","🔴 BOTTOM",IF(M22="No","✓ Cleared",IF(Q22="MIN",IF(AND(ISNUMBER(F22),ISNUMBER(H22)),IF(H22&lt;F22*'Master Dashboard'!$B$4,"🔴 LOW",""),""),IF(Q22="MAX",IF(AND(ISNUMBER(F22),ISNUMBER(H22)),IF(H22&gt;F22,"🔴 HIGH",""),""),""))))</f>
        <v/>
      </c>
      <c r="M22" s="54" t="s">
        <v>82</v>
      </c>
      <c r="N22" s="59" t="s">
        <v>83</v>
      </c>
      <c r="O22" s="60" t="s">
        <v>84</v>
      </c>
      <c r="P22" s="61" t="s">
        <v>130</v>
      </c>
      <c r="Q22" s="60" t="s">
        <v>110</v>
      </c>
      <c r="R22" s="60" t="s">
        <v>131</v>
      </c>
    </row>
    <row r="23" ht="15.75" customHeight="1">
      <c r="A23" s="48"/>
      <c r="B23" s="49"/>
      <c r="C23" s="50" t="s">
        <v>132</v>
      </c>
      <c r="D23" s="51" t="s">
        <v>81</v>
      </c>
      <c r="E23" s="62">
        <v>50.0</v>
      </c>
      <c r="F23" s="63">
        <v>50.0</v>
      </c>
      <c r="G23" s="54"/>
      <c r="H23" s="55">
        <v>36.0</v>
      </c>
      <c r="I23" s="56" t="str">
        <f t="shared" si="1"/>
        <v/>
      </c>
      <c r="J23" s="57">
        <f t="shared" si="2"/>
        <v>0.72</v>
      </c>
      <c r="K23" s="54" t="s">
        <v>9</v>
      </c>
      <c r="L23" s="58" t="str">
        <f>IF(M23="Yes","🔴 BOTTOM",IF(M23="No","✓ Cleared",IF(Q23="MIN",IF(AND(ISNUMBER(F23),ISNUMBER(H23)),IF(H23&lt;F23*'Master Dashboard'!$B$4,"🔴 LOW",""),""),IF(Q23="MAX",IF(AND(ISNUMBER(F23),ISNUMBER(H23)),IF(H23&gt;F23,"🔴 HIGH",""),""),""))))</f>
        <v>🔴 LOW</v>
      </c>
      <c r="M23" s="54" t="s">
        <v>82</v>
      </c>
      <c r="N23" s="59" t="s">
        <v>83</v>
      </c>
      <c r="O23" s="60" t="s">
        <v>84</v>
      </c>
      <c r="P23" s="61" t="s">
        <v>133</v>
      </c>
      <c r="Q23" s="60" t="s">
        <v>110</v>
      </c>
      <c r="R23" s="60" t="s">
        <v>134</v>
      </c>
    </row>
    <row r="24" ht="15.75" customHeight="1">
      <c r="A24" s="48"/>
      <c r="B24" s="49"/>
      <c r="C24" s="50" t="s">
        <v>135</v>
      </c>
      <c r="D24" s="51" t="s">
        <v>81</v>
      </c>
      <c r="E24" s="62">
        <v>50.0</v>
      </c>
      <c r="F24" s="63">
        <v>50.0</v>
      </c>
      <c r="G24" s="54"/>
      <c r="H24" s="55">
        <v>89.0</v>
      </c>
      <c r="I24" s="56" t="str">
        <f t="shared" si="1"/>
        <v/>
      </c>
      <c r="J24" s="57">
        <f t="shared" si="2"/>
        <v>1.78</v>
      </c>
      <c r="K24" s="54" t="s">
        <v>9</v>
      </c>
      <c r="L24" s="58" t="str">
        <f>IF(M24="Yes","🔴 BOTTOM",IF(M24="No","✓ Cleared",IF(Q24="MIN",IF(AND(ISNUMBER(F24),ISNUMBER(H24)),IF(H24&lt;F24*'Master Dashboard'!$B$4,"🔴 LOW",""),""),IF(Q24="MAX",IF(AND(ISNUMBER(F24),ISNUMBER(H24)),IF(H24&gt;F24,"🔴 HIGH",""),""),""))))</f>
        <v/>
      </c>
      <c r="M24" s="54" t="s">
        <v>82</v>
      </c>
      <c r="N24" s="59" t="s">
        <v>83</v>
      </c>
      <c r="O24" s="60" t="s">
        <v>84</v>
      </c>
      <c r="P24" s="61" t="s">
        <v>136</v>
      </c>
      <c r="Q24" s="60" t="s">
        <v>110</v>
      </c>
      <c r="R24" s="60" t="s">
        <v>137</v>
      </c>
    </row>
    <row r="25" ht="15.75" customHeight="1">
      <c r="A25" s="48"/>
      <c r="B25" s="49"/>
      <c r="C25" s="50" t="s">
        <v>138</v>
      </c>
      <c r="D25" s="51" t="s">
        <v>81</v>
      </c>
      <c r="E25" s="62">
        <v>50.0</v>
      </c>
      <c r="F25" s="63">
        <v>50.0</v>
      </c>
      <c r="G25" s="54"/>
      <c r="H25" s="55">
        <v>62.0</v>
      </c>
      <c r="I25" s="56" t="str">
        <f t="shared" si="1"/>
        <v/>
      </c>
      <c r="J25" s="57">
        <f t="shared" si="2"/>
        <v>1.24</v>
      </c>
      <c r="K25" s="54" t="s">
        <v>9</v>
      </c>
      <c r="L25" s="58" t="str">
        <f>IF(M25="Yes","🔴 BOTTOM",IF(M25="No","✓ Cleared",IF(Q25="MIN",IF(AND(ISNUMBER(F25),ISNUMBER(H25)),IF(H25&lt;F25*'Master Dashboard'!$B$4,"🔴 LOW",""),""),IF(Q25="MAX",IF(AND(ISNUMBER(F25),ISNUMBER(H25)),IF(H25&gt;F25,"🔴 HIGH",""),""),""))))</f>
        <v/>
      </c>
      <c r="M25" s="54" t="s">
        <v>82</v>
      </c>
      <c r="N25" s="59" t="s">
        <v>83</v>
      </c>
      <c r="O25" s="60" t="s">
        <v>84</v>
      </c>
      <c r="P25" s="61" t="s">
        <v>139</v>
      </c>
      <c r="Q25" s="60" t="s">
        <v>110</v>
      </c>
      <c r="R25" s="60" t="s">
        <v>140</v>
      </c>
    </row>
    <row r="26" ht="15.75" customHeight="1">
      <c r="A26" s="48"/>
      <c r="B26" s="49"/>
      <c r="C26" s="50" t="s">
        <v>141</v>
      </c>
      <c r="D26" s="51" t="s">
        <v>81</v>
      </c>
      <c r="E26" s="62">
        <v>50.0</v>
      </c>
      <c r="F26" s="63">
        <v>50.0</v>
      </c>
      <c r="G26" s="54"/>
      <c r="H26" s="55">
        <v>22.0</v>
      </c>
      <c r="I26" s="56" t="str">
        <f t="shared" si="1"/>
        <v/>
      </c>
      <c r="J26" s="57">
        <f t="shared" si="2"/>
        <v>0.44</v>
      </c>
      <c r="K26" s="54" t="s">
        <v>9</v>
      </c>
      <c r="L26" s="58" t="str">
        <f>IF(M26="Yes","🔴 BOTTOM",IF(M26="No","✓ Cleared",IF(Q26="MIN",IF(AND(ISNUMBER(F26),ISNUMBER(H26)),IF(H26&lt;F26*'Master Dashboard'!$B$4,"🔴 LOW",""),""),IF(Q26="MAX",IF(AND(ISNUMBER(F26),ISNUMBER(H26)),IF(H26&gt;F26,"🔴 HIGH",""),""),""))))</f>
        <v>🔴 LOW</v>
      </c>
      <c r="M26" s="54" t="s">
        <v>82</v>
      </c>
      <c r="N26" s="59" t="s">
        <v>83</v>
      </c>
      <c r="O26" s="60" t="s">
        <v>84</v>
      </c>
      <c r="P26" s="61" t="s">
        <v>142</v>
      </c>
      <c r="Q26" s="60" t="s">
        <v>110</v>
      </c>
      <c r="R26" s="60" t="s">
        <v>143</v>
      </c>
    </row>
    <row r="27" ht="15.75" customHeight="1">
      <c r="A27" s="48"/>
      <c r="B27" s="49"/>
      <c r="C27" s="50" t="s">
        <v>144</v>
      </c>
      <c r="D27" s="51" t="s">
        <v>81</v>
      </c>
      <c r="E27" s="62">
        <v>50.0</v>
      </c>
      <c r="F27" s="63">
        <v>50.0</v>
      </c>
      <c r="G27" s="54"/>
      <c r="H27" s="55">
        <v>15.0</v>
      </c>
      <c r="I27" s="56" t="str">
        <f t="shared" si="1"/>
        <v/>
      </c>
      <c r="J27" s="57">
        <f t="shared" si="2"/>
        <v>0.3</v>
      </c>
      <c r="K27" s="54" t="s">
        <v>9</v>
      </c>
      <c r="L27" s="58" t="str">
        <f>IF(M27="Yes","🔴 BOTTOM",IF(M27="No","✓ Cleared",IF(Q27="MIN",IF(AND(ISNUMBER(F27),ISNUMBER(H27)),IF(H27&lt;F27*'Master Dashboard'!$B$4,"🔴 LOW",""),""),IF(Q27="MAX",IF(AND(ISNUMBER(F27),ISNUMBER(H27)),IF(H27&gt;F27,"🔴 HIGH",""),""),""))))</f>
        <v>🔴 LOW</v>
      </c>
      <c r="M27" s="54" t="s">
        <v>82</v>
      </c>
      <c r="N27" s="59" t="s">
        <v>83</v>
      </c>
      <c r="O27" s="60" t="s">
        <v>84</v>
      </c>
      <c r="P27" s="61" t="s">
        <v>145</v>
      </c>
      <c r="Q27" s="60" t="s">
        <v>110</v>
      </c>
      <c r="R27" s="60" t="s">
        <v>146</v>
      </c>
    </row>
    <row r="28" ht="15.75" customHeight="1">
      <c r="A28" s="48"/>
      <c r="B28" s="49"/>
      <c r="C28" s="50" t="s">
        <v>147</v>
      </c>
      <c r="D28" s="51" t="s">
        <v>81</v>
      </c>
      <c r="E28" s="62">
        <v>50.0</v>
      </c>
      <c r="F28" s="63">
        <v>50.0</v>
      </c>
      <c r="G28" s="54"/>
      <c r="H28" s="55">
        <v>61.0</v>
      </c>
      <c r="I28" s="56" t="str">
        <f t="shared" si="1"/>
        <v/>
      </c>
      <c r="J28" s="57">
        <f t="shared" si="2"/>
        <v>1.22</v>
      </c>
      <c r="K28" s="54" t="s">
        <v>9</v>
      </c>
      <c r="L28" s="58" t="str">
        <f>IF(M28="Yes","🔴 BOTTOM",IF(M28="No","✓ Cleared",IF(Q28="MIN",IF(AND(ISNUMBER(F28),ISNUMBER(H28)),IF(H28&lt;F28*'Master Dashboard'!$B$4,"🔴 LOW",""),""),IF(Q28="MAX",IF(AND(ISNUMBER(F28),ISNUMBER(H28)),IF(H28&gt;F28,"🔴 HIGH",""),""),""))))</f>
        <v/>
      </c>
      <c r="M28" s="54" t="s">
        <v>82</v>
      </c>
      <c r="N28" s="59" t="s">
        <v>83</v>
      </c>
      <c r="O28" s="60" t="s">
        <v>84</v>
      </c>
      <c r="P28" s="61" t="s">
        <v>148</v>
      </c>
      <c r="Q28" s="60" t="s">
        <v>110</v>
      </c>
      <c r="R28" s="60" t="s">
        <v>149</v>
      </c>
    </row>
    <row r="29" ht="15.75" customHeight="1">
      <c r="A29" s="48"/>
      <c r="B29" s="49"/>
      <c r="C29" s="50" t="s">
        <v>150</v>
      </c>
      <c r="D29" s="51" t="s">
        <v>81</v>
      </c>
      <c r="E29" s="62">
        <v>50.0</v>
      </c>
      <c r="F29" s="63">
        <v>50.0</v>
      </c>
      <c r="G29" s="54"/>
      <c r="H29" s="55">
        <v>28.0</v>
      </c>
      <c r="I29" s="56" t="str">
        <f t="shared" si="1"/>
        <v/>
      </c>
      <c r="J29" s="57">
        <f t="shared" si="2"/>
        <v>0.56</v>
      </c>
      <c r="K29" s="54" t="s">
        <v>9</v>
      </c>
      <c r="L29" s="58" t="str">
        <f>IF(M29="Yes","🔴 BOTTOM",IF(M29="No","✓ Cleared",IF(Q29="MIN",IF(AND(ISNUMBER(F29),ISNUMBER(H29)),IF(H29&lt;F29*'Master Dashboard'!$B$4,"🔴 LOW",""),""),IF(Q29="MAX",IF(AND(ISNUMBER(F29),ISNUMBER(H29)),IF(H29&gt;F29,"🔴 HIGH",""),""),""))))</f>
        <v>🔴 LOW</v>
      </c>
      <c r="M29" s="54" t="s">
        <v>82</v>
      </c>
      <c r="N29" s="59" t="s">
        <v>83</v>
      </c>
      <c r="O29" s="60" t="s">
        <v>84</v>
      </c>
      <c r="P29" s="61" t="s">
        <v>151</v>
      </c>
      <c r="Q29" s="60" t="s">
        <v>110</v>
      </c>
      <c r="R29" s="60" t="s">
        <v>152</v>
      </c>
    </row>
    <row r="30" ht="15.75" customHeight="1">
      <c r="A30" s="48"/>
      <c r="B30" s="49"/>
      <c r="C30" s="50" t="s">
        <v>153</v>
      </c>
      <c r="D30" s="51" t="s">
        <v>81</v>
      </c>
      <c r="E30" s="62">
        <v>50.0</v>
      </c>
      <c r="F30" s="63">
        <v>50.0</v>
      </c>
      <c r="G30" s="54"/>
      <c r="H30" s="55">
        <v>19.0</v>
      </c>
      <c r="I30" s="56" t="str">
        <f t="shared" si="1"/>
        <v/>
      </c>
      <c r="J30" s="57">
        <f t="shared" si="2"/>
        <v>0.38</v>
      </c>
      <c r="K30" s="54" t="s">
        <v>9</v>
      </c>
      <c r="L30" s="58" t="str">
        <f>IF(M30="Yes","🔴 BOTTOM",IF(M30="No","✓ Cleared",IF(Q30="MIN",IF(AND(ISNUMBER(F30),ISNUMBER(H30)),IF(H30&lt;F30*'Master Dashboard'!$B$4,"🔴 LOW",""),""),IF(Q30="MAX",IF(AND(ISNUMBER(F30),ISNUMBER(H30)),IF(H30&gt;F30,"🔴 HIGH",""),""),""))))</f>
        <v>🔴 LOW</v>
      </c>
      <c r="M30" s="54" t="s">
        <v>82</v>
      </c>
      <c r="N30" s="59" t="s">
        <v>83</v>
      </c>
      <c r="O30" s="60" t="s">
        <v>84</v>
      </c>
      <c r="P30" s="61" t="s">
        <v>154</v>
      </c>
      <c r="Q30" s="60" t="s">
        <v>110</v>
      </c>
      <c r="R30" s="60" t="s">
        <v>155</v>
      </c>
    </row>
    <row r="31" ht="15.75" customHeight="1">
      <c r="A31" s="48"/>
      <c r="B31" s="49"/>
      <c r="C31" s="50" t="s">
        <v>156</v>
      </c>
      <c r="D31" s="51" t="s">
        <v>81</v>
      </c>
      <c r="E31" s="62">
        <v>50.0</v>
      </c>
      <c r="F31" s="63">
        <v>50.0</v>
      </c>
      <c r="G31" s="54"/>
      <c r="H31" s="55">
        <v>42.0</v>
      </c>
      <c r="I31" s="56" t="str">
        <f t="shared" si="1"/>
        <v/>
      </c>
      <c r="J31" s="57">
        <f t="shared" si="2"/>
        <v>0.84</v>
      </c>
      <c r="K31" s="54" t="s">
        <v>9</v>
      </c>
      <c r="L31" s="58" t="str">
        <f>IF(M31="Yes","🔴 BOTTOM",IF(M31="No","✓ Cleared",IF(Q31="MIN",IF(AND(ISNUMBER(F31),ISNUMBER(H31)),IF(H31&lt;F31*'Master Dashboard'!$B$4,"🔴 LOW",""),""),IF(Q31="MAX",IF(AND(ISNUMBER(F31),ISNUMBER(H31)),IF(H31&gt;F31,"🔴 HIGH",""),""),""))))</f>
        <v>🔴 LOW</v>
      </c>
      <c r="M31" s="54" t="s">
        <v>82</v>
      </c>
      <c r="N31" s="59" t="s">
        <v>83</v>
      </c>
      <c r="O31" s="60" t="s">
        <v>84</v>
      </c>
      <c r="P31" s="61" t="s">
        <v>157</v>
      </c>
      <c r="Q31" s="60" t="s">
        <v>110</v>
      </c>
      <c r="R31" s="60" t="s">
        <v>158</v>
      </c>
    </row>
    <row r="32" ht="15.75" customHeight="1">
      <c r="A32" s="48"/>
      <c r="B32" s="49"/>
      <c r="C32" s="50" t="s">
        <v>159</v>
      </c>
      <c r="D32" s="51" t="s">
        <v>81</v>
      </c>
      <c r="E32" s="62">
        <v>50.0</v>
      </c>
      <c r="F32" s="63">
        <v>50.0</v>
      </c>
      <c r="G32" s="54"/>
      <c r="H32" s="55">
        <v>119.0</v>
      </c>
      <c r="I32" s="56" t="str">
        <f t="shared" si="1"/>
        <v/>
      </c>
      <c r="J32" s="57">
        <f t="shared" si="2"/>
        <v>2.38</v>
      </c>
      <c r="K32" s="54" t="s">
        <v>9</v>
      </c>
      <c r="L32" s="58" t="str">
        <f>IF(M32="Yes","🔴 BOTTOM",IF(M32="No","✓ Cleared",IF(Q32="MIN",IF(AND(ISNUMBER(F32),ISNUMBER(H32)),IF(H32&lt;F32*'Master Dashboard'!$B$4,"🔴 LOW",""),""),IF(Q32="MAX",IF(AND(ISNUMBER(F32),ISNUMBER(H32)),IF(H32&gt;F32,"🔴 HIGH",""),""),""))))</f>
        <v/>
      </c>
      <c r="M32" s="54" t="s">
        <v>82</v>
      </c>
      <c r="N32" s="59" t="s">
        <v>83</v>
      </c>
      <c r="O32" s="60" t="s">
        <v>84</v>
      </c>
      <c r="P32" s="61" t="s">
        <v>160</v>
      </c>
      <c r="Q32" s="60" t="s">
        <v>110</v>
      </c>
      <c r="R32" s="60" t="s">
        <v>161</v>
      </c>
    </row>
    <row r="33" ht="15.75" customHeight="1">
      <c r="A33" s="35">
        <v>2.0</v>
      </c>
      <c r="B33" s="36" t="s">
        <v>162</v>
      </c>
      <c r="C33" s="37" t="s">
        <v>163</v>
      </c>
      <c r="D33" s="38"/>
      <c r="E33" s="39"/>
      <c r="F33" s="40"/>
      <c r="G33" s="41"/>
      <c r="H33" s="42">
        <v>48.0</v>
      </c>
      <c r="I33" s="43"/>
      <c r="J33" s="43"/>
      <c r="K33" s="43"/>
      <c r="L33" s="43"/>
      <c r="M33" s="43"/>
      <c r="N33" s="43"/>
      <c r="O33" s="43"/>
      <c r="P33" s="44" t="s">
        <v>164</v>
      </c>
      <c r="Q33" s="45"/>
      <c r="R33" s="45"/>
    </row>
    <row r="34" ht="15.75" customHeight="1">
      <c r="A34" s="46"/>
      <c r="B34" s="47"/>
      <c r="C34" s="37" t="s">
        <v>165</v>
      </c>
      <c r="D34" s="38"/>
      <c r="E34" s="39"/>
      <c r="F34" s="40"/>
      <c r="G34" s="41"/>
      <c r="H34" s="42">
        <v>32.0</v>
      </c>
      <c r="I34" s="43"/>
      <c r="J34" s="43"/>
      <c r="K34" s="43"/>
      <c r="L34" s="43"/>
      <c r="M34" s="43"/>
      <c r="N34" s="43"/>
      <c r="O34" s="43"/>
      <c r="P34" s="44" t="s">
        <v>166</v>
      </c>
      <c r="Q34" s="45"/>
      <c r="R34" s="45"/>
    </row>
    <row r="35" ht="15.75" customHeight="1">
      <c r="A35" s="48"/>
      <c r="B35" s="49"/>
      <c r="C35" s="50" t="s">
        <v>167</v>
      </c>
      <c r="D35" s="51" t="s">
        <v>168</v>
      </c>
      <c r="E35" s="62">
        <v>48.0</v>
      </c>
      <c r="F35" s="63">
        <v>48.0</v>
      </c>
      <c r="G35" s="54"/>
      <c r="H35" s="55">
        <v>17.0</v>
      </c>
      <c r="I35" s="56" t="str">
        <f t="shared" ref="I35:I44" si="3">IF(AND(ISNUMBER(G35),ISNUMBER(H35)),H35-G35,"")</f>
        <v/>
      </c>
      <c r="J35" s="57">
        <f t="shared" ref="J35:J44" si="4">IF(AND(ISNUMBER(E35),E35&gt;0,ISNUMBER(H35)),H35/E35,"")</f>
        <v>0.3541666667</v>
      </c>
      <c r="K35" s="64" t="s">
        <v>7</v>
      </c>
      <c r="L35" s="58" t="str">
        <f>IF(M35="Yes","🔴 BOTTOM",IF(M35="No","✓ Cleared",IF(Q35="MIN",IF(AND(ISNUMBER(F35),ISNUMBER(H35)),IF(H35&lt;F35*'Master Dashboard'!$B$4,"🔴 LOW",""),""),IF(Q35="MAX",IF(AND(ISNUMBER(F35),ISNUMBER(H35)),IF(H35&gt;F35,"🔴 HIGH",""),""),""))))</f>
        <v>🔴 LOW</v>
      </c>
      <c r="M35" s="54" t="s">
        <v>82</v>
      </c>
      <c r="N35" s="59" t="s">
        <v>83</v>
      </c>
      <c r="O35" s="60" t="s">
        <v>84</v>
      </c>
      <c r="P35" s="61" t="s">
        <v>169</v>
      </c>
      <c r="Q35" s="60" t="s">
        <v>110</v>
      </c>
      <c r="R35" s="60" t="s">
        <v>170</v>
      </c>
    </row>
    <row r="36" ht="15.75" customHeight="1">
      <c r="A36" s="48"/>
      <c r="B36" s="49"/>
      <c r="C36" s="50" t="s">
        <v>171</v>
      </c>
      <c r="D36" s="51" t="s">
        <v>168</v>
      </c>
      <c r="E36" s="52"/>
      <c r="F36" s="53"/>
      <c r="G36" s="54"/>
      <c r="H36" s="55">
        <v>30.0</v>
      </c>
      <c r="I36" s="56" t="str">
        <f t="shared" si="3"/>
        <v/>
      </c>
      <c r="J36" s="57" t="str">
        <f t="shared" si="4"/>
        <v/>
      </c>
      <c r="K36" s="54" t="s">
        <v>9</v>
      </c>
      <c r="L36" s="58" t="str">
        <f>IF(M36="Yes","🔴 BOTTOM",IF(M36="No","✓ Cleared",IF(Q36="MIN",IF(AND(ISNUMBER(F36),ISNUMBER(H36)),IF(H36&lt;F36*'Master Dashboard'!$B$4,"🔴 LOW",""),""),IF(Q36="MAX",IF(AND(ISNUMBER(F36),ISNUMBER(H36)),IF(H36&gt;F36,"🔴 HIGH",""),""),""))))</f>
        <v/>
      </c>
      <c r="M36" s="54" t="s">
        <v>82</v>
      </c>
      <c r="N36" s="59" t="s">
        <v>83</v>
      </c>
      <c r="O36" s="60" t="s">
        <v>84</v>
      </c>
      <c r="P36" s="61"/>
      <c r="Q36" s="60"/>
      <c r="R36" s="60" t="s">
        <v>172</v>
      </c>
    </row>
    <row r="37" ht="15.75" customHeight="1">
      <c r="A37" s="48"/>
      <c r="B37" s="49"/>
      <c r="C37" s="50" t="s">
        <v>173</v>
      </c>
      <c r="D37" s="51" t="s">
        <v>168</v>
      </c>
      <c r="E37" s="52"/>
      <c r="F37" s="53"/>
      <c r="G37" s="54"/>
      <c r="H37" s="55">
        <v>10.0</v>
      </c>
      <c r="I37" s="56" t="str">
        <f t="shared" si="3"/>
        <v/>
      </c>
      <c r="J37" s="57" t="str">
        <f t="shared" si="4"/>
        <v/>
      </c>
      <c r="K37" s="54" t="s">
        <v>9</v>
      </c>
      <c r="L37" s="58" t="str">
        <f>IF(M37="Yes","🔴 BOTTOM",IF(M37="No","✓ Cleared",IF(Q37="MIN",IF(AND(ISNUMBER(F37),ISNUMBER(H37)),IF(H37&lt;F37*'Master Dashboard'!$B$4,"🔴 LOW",""),""),IF(Q37="MAX",IF(AND(ISNUMBER(F37),ISNUMBER(H37)),IF(H37&gt;F37,"🔴 HIGH",""),""),""))))</f>
        <v/>
      </c>
      <c r="M37" s="54" t="s">
        <v>82</v>
      </c>
      <c r="N37" s="59" t="s">
        <v>83</v>
      </c>
      <c r="O37" s="60" t="s">
        <v>84</v>
      </c>
      <c r="P37" s="61"/>
      <c r="Q37" s="60"/>
      <c r="R37" s="60" t="s">
        <v>174</v>
      </c>
    </row>
    <row r="38" ht="15.75" customHeight="1">
      <c r="A38" s="48"/>
      <c r="B38" s="49"/>
      <c r="C38" s="50" t="s">
        <v>175</v>
      </c>
      <c r="D38" s="51" t="s">
        <v>168</v>
      </c>
      <c r="E38" s="52"/>
      <c r="F38" s="53"/>
      <c r="G38" s="54"/>
      <c r="H38" s="55">
        <v>2.0</v>
      </c>
      <c r="I38" s="56" t="str">
        <f t="shared" si="3"/>
        <v/>
      </c>
      <c r="J38" s="57" t="str">
        <f t="shared" si="4"/>
        <v/>
      </c>
      <c r="K38" s="54" t="s">
        <v>9</v>
      </c>
      <c r="L38" s="58" t="str">
        <f>IF(M38="Yes","🔴 BOTTOM",IF(M38="No","✓ Cleared",IF(Q38="MIN",IF(AND(ISNUMBER(F38),ISNUMBER(H38)),IF(H38&lt;F38*'Master Dashboard'!$B$4,"🔴 LOW",""),""),IF(Q38="MAX",IF(AND(ISNUMBER(F38),ISNUMBER(H38)),IF(H38&gt;F38,"🔴 HIGH",""),""),""))))</f>
        <v/>
      </c>
      <c r="M38" s="54" t="s">
        <v>82</v>
      </c>
      <c r="N38" s="59" t="s">
        <v>83</v>
      </c>
      <c r="O38" s="60" t="s">
        <v>84</v>
      </c>
      <c r="P38" s="61"/>
      <c r="Q38" s="60"/>
      <c r="R38" s="60" t="s">
        <v>176</v>
      </c>
    </row>
    <row r="39" ht="15.75" customHeight="1">
      <c r="A39" s="48"/>
      <c r="B39" s="49"/>
      <c r="C39" s="50" t="s">
        <v>177</v>
      </c>
      <c r="D39" s="51" t="s">
        <v>168</v>
      </c>
      <c r="E39" s="52"/>
      <c r="F39" s="53"/>
      <c r="G39" s="54"/>
      <c r="H39" s="55">
        <v>4.0</v>
      </c>
      <c r="I39" s="56" t="str">
        <f t="shared" si="3"/>
        <v/>
      </c>
      <c r="J39" s="57" t="str">
        <f t="shared" si="4"/>
        <v/>
      </c>
      <c r="K39" s="54" t="s">
        <v>9</v>
      </c>
      <c r="L39" s="58" t="str">
        <f>IF(M39="Yes","🔴 BOTTOM",IF(M39="No","✓ Cleared",IF(Q39="MIN",IF(AND(ISNUMBER(F39),ISNUMBER(H39)),IF(H39&lt;F39*'Master Dashboard'!$B$4,"🔴 LOW",""),""),IF(Q39="MAX",IF(AND(ISNUMBER(F39),ISNUMBER(H39)),IF(H39&gt;F39,"🔴 HIGH",""),""),""))))</f>
        <v/>
      </c>
      <c r="M39" s="54" t="s">
        <v>82</v>
      </c>
      <c r="N39" s="59" t="s">
        <v>83</v>
      </c>
      <c r="O39" s="60" t="s">
        <v>84</v>
      </c>
      <c r="P39" s="61"/>
      <c r="Q39" s="60"/>
      <c r="R39" s="60" t="s">
        <v>178</v>
      </c>
    </row>
    <row r="40" ht="15.75" customHeight="1">
      <c r="A40" s="48"/>
      <c r="B40" s="49"/>
      <c r="C40" s="50" t="s">
        <v>179</v>
      </c>
      <c r="D40" s="51" t="s">
        <v>168</v>
      </c>
      <c r="E40" s="52"/>
      <c r="F40" s="53"/>
      <c r="G40" s="54"/>
      <c r="H40" s="55">
        <v>7.0</v>
      </c>
      <c r="I40" s="56" t="str">
        <f t="shared" si="3"/>
        <v/>
      </c>
      <c r="J40" s="57" t="str">
        <f t="shared" si="4"/>
        <v/>
      </c>
      <c r="K40" s="54" t="s">
        <v>9</v>
      </c>
      <c r="L40" s="58" t="str">
        <f>IF(M40="Yes","🔴 BOTTOM",IF(M40="No","✓ Cleared",IF(Q40="MIN",IF(AND(ISNUMBER(F40),ISNUMBER(H40)),IF(H40&lt;F40*'Master Dashboard'!$B$4,"🔴 LOW",""),""),IF(Q40="MAX",IF(AND(ISNUMBER(F40),ISNUMBER(H40)),IF(H40&gt;F40,"🔴 HIGH",""),""),""))))</f>
        <v/>
      </c>
      <c r="M40" s="54" t="s">
        <v>82</v>
      </c>
      <c r="N40" s="59" t="s">
        <v>83</v>
      </c>
      <c r="O40" s="60" t="s">
        <v>84</v>
      </c>
      <c r="P40" s="61"/>
      <c r="Q40" s="60"/>
      <c r="R40" s="60" t="s">
        <v>180</v>
      </c>
    </row>
    <row r="41" ht="15.75" customHeight="1">
      <c r="A41" s="48"/>
      <c r="B41" s="49"/>
      <c r="C41" s="50" t="s">
        <v>181</v>
      </c>
      <c r="D41" s="51" t="s">
        <v>168</v>
      </c>
      <c r="E41" s="52"/>
      <c r="F41" s="53"/>
      <c r="G41" s="54"/>
      <c r="H41" s="55">
        <v>6.0</v>
      </c>
      <c r="I41" s="56" t="str">
        <f t="shared" si="3"/>
        <v/>
      </c>
      <c r="J41" s="57" t="str">
        <f t="shared" si="4"/>
        <v/>
      </c>
      <c r="K41" s="54" t="s">
        <v>9</v>
      </c>
      <c r="L41" s="58" t="str">
        <f>IF(M41="Yes","🔴 BOTTOM",IF(M41="No","✓ Cleared",IF(Q41="MIN",IF(AND(ISNUMBER(F41),ISNUMBER(H41)),IF(H41&lt;F41*'Master Dashboard'!$B$4,"🔴 LOW",""),""),IF(Q41="MAX",IF(AND(ISNUMBER(F41),ISNUMBER(H41)),IF(H41&gt;F41,"🔴 HIGH",""),""),""))))</f>
        <v/>
      </c>
      <c r="M41" s="54" t="s">
        <v>82</v>
      </c>
      <c r="N41" s="59" t="s">
        <v>83</v>
      </c>
      <c r="O41" s="60" t="s">
        <v>84</v>
      </c>
      <c r="P41" s="61"/>
      <c r="Q41" s="60"/>
      <c r="R41" s="60" t="s">
        <v>182</v>
      </c>
    </row>
    <row r="42" ht="15.75" customHeight="1">
      <c r="A42" s="48"/>
      <c r="B42" s="49"/>
      <c r="C42" s="50" t="s">
        <v>183</v>
      </c>
      <c r="D42" s="51" t="s">
        <v>168</v>
      </c>
      <c r="E42" s="62">
        <v>0.0</v>
      </c>
      <c r="F42" s="63">
        <v>0.0</v>
      </c>
      <c r="G42" s="54"/>
      <c r="H42" s="55">
        <v>1.0</v>
      </c>
      <c r="I42" s="56" t="str">
        <f t="shared" si="3"/>
        <v/>
      </c>
      <c r="J42" s="57" t="str">
        <f t="shared" si="4"/>
        <v/>
      </c>
      <c r="K42" s="54" t="s">
        <v>10</v>
      </c>
      <c r="L42" s="58" t="str">
        <f>IF(M42="Yes","🔴 BOTTOM",IF(M42="No","✓ Cleared",IF(Q42="MIN",IF(AND(ISNUMBER(F42),ISNUMBER(H42)),IF(H42&lt;F42*'Master Dashboard'!$B$4,"🔴 LOW",""),""),IF(Q42="MAX",IF(AND(ISNUMBER(F42),ISNUMBER(H42)),IF(H42&gt;F42,"🔴 HIGH",""),""),""))))</f>
        <v>🔴 HIGH</v>
      </c>
      <c r="M42" s="54" t="s">
        <v>82</v>
      </c>
      <c r="N42" s="59" t="s">
        <v>83</v>
      </c>
      <c r="O42" s="60" t="s">
        <v>84</v>
      </c>
      <c r="P42" s="61"/>
      <c r="Q42" s="60" t="s">
        <v>114</v>
      </c>
      <c r="R42" s="60" t="s">
        <v>184</v>
      </c>
    </row>
    <row r="43" ht="15.75" customHeight="1">
      <c r="A43" s="48"/>
      <c r="B43" s="49"/>
      <c r="C43" s="50" t="s">
        <v>185</v>
      </c>
      <c r="D43" s="51" t="s">
        <v>168</v>
      </c>
      <c r="E43" s="62">
        <v>32.0</v>
      </c>
      <c r="F43" s="63">
        <v>32.0</v>
      </c>
      <c r="G43" s="54"/>
      <c r="H43" s="55">
        <v>28.0</v>
      </c>
      <c r="I43" s="56" t="str">
        <f t="shared" si="3"/>
        <v/>
      </c>
      <c r="J43" s="57">
        <f t="shared" si="4"/>
        <v>0.875</v>
      </c>
      <c r="K43" s="54" t="s">
        <v>9</v>
      </c>
      <c r="L43" s="58" t="str">
        <f>IF(M43="Yes","🔴 BOTTOM",IF(M43="No","✓ Cleared",IF(Q43="MIN",IF(AND(ISNUMBER(F43),ISNUMBER(H43)),IF(H43&lt;F43*'Master Dashboard'!$B$4,"🔴 LOW",""),""),IF(Q43="MAX",IF(AND(ISNUMBER(F43),ISNUMBER(H43)),IF(H43&gt;F43,"🔴 HIGH",""),""),""))))</f>
        <v>🔴 LOW</v>
      </c>
      <c r="M43" s="54" t="s">
        <v>82</v>
      </c>
      <c r="N43" s="59" t="s">
        <v>83</v>
      </c>
      <c r="O43" s="60" t="s">
        <v>84</v>
      </c>
      <c r="P43" s="61" t="s">
        <v>186</v>
      </c>
      <c r="Q43" s="60" t="s">
        <v>110</v>
      </c>
      <c r="R43" s="60" t="s">
        <v>187</v>
      </c>
    </row>
    <row r="44" ht="15.75" customHeight="1">
      <c r="A44" s="48"/>
      <c r="B44" s="49"/>
      <c r="C44" s="50" t="s">
        <v>188</v>
      </c>
      <c r="D44" s="51" t="s">
        <v>168</v>
      </c>
      <c r="E44" s="62">
        <v>0.0</v>
      </c>
      <c r="F44" s="63">
        <v>0.0</v>
      </c>
      <c r="G44" s="54"/>
      <c r="H44" s="55">
        <v>4.0</v>
      </c>
      <c r="I44" s="56" t="str">
        <f t="shared" si="3"/>
        <v/>
      </c>
      <c r="J44" s="57" t="str">
        <f t="shared" si="4"/>
        <v/>
      </c>
      <c r="K44" s="54" t="s">
        <v>10</v>
      </c>
      <c r="L44" s="58" t="str">
        <f>IF(M44="Yes","🔴 BOTTOM",IF(M44="No","✓ Cleared",IF(Q44="MIN",IF(AND(ISNUMBER(F44),ISNUMBER(H44)),IF(H44&lt;F44*'Master Dashboard'!$B$4,"🔴 LOW",""),""),IF(Q44="MAX",IF(AND(ISNUMBER(F44),ISNUMBER(H44)),IF(H44&gt;F44,"🔴 HIGH",""),""),""))))</f>
        <v>🔴 HIGH</v>
      </c>
      <c r="M44" s="54" t="s">
        <v>82</v>
      </c>
      <c r="N44" s="59" t="s">
        <v>83</v>
      </c>
      <c r="O44" s="60" t="s">
        <v>84</v>
      </c>
      <c r="P44" s="61" t="s">
        <v>189</v>
      </c>
      <c r="Q44" s="60" t="s">
        <v>114</v>
      </c>
      <c r="R44" s="60" t="s">
        <v>190</v>
      </c>
    </row>
    <row r="45" ht="15.75" customHeight="1">
      <c r="A45" s="35">
        <v>3.0</v>
      </c>
      <c r="B45" s="36" t="s">
        <v>191</v>
      </c>
      <c r="C45" s="37" t="s">
        <v>192</v>
      </c>
      <c r="D45" s="38"/>
      <c r="E45" s="39"/>
      <c r="F45" s="40"/>
      <c r="G45" s="41"/>
      <c r="H45" s="42">
        <v>3778.0</v>
      </c>
      <c r="I45" s="43"/>
      <c r="J45" s="43"/>
      <c r="K45" s="43"/>
      <c r="L45" s="43"/>
      <c r="M45" s="43"/>
      <c r="N45" s="43"/>
      <c r="O45" s="43"/>
      <c r="P45" s="44" t="s">
        <v>193</v>
      </c>
      <c r="Q45" s="45"/>
      <c r="R45" s="45"/>
    </row>
    <row r="46" ht="15.75" customHeight="1">
      <c r="A46" s="46"/>
      <c r="B46" s="47"/>
      <c r="C46" s="37" t="s">
        <v>194</v>
      </c>
      <c r="D46" s="38"/>
      <c r="E46" s="39"/>
      <c r="F46" s="40"/>
      <c r="G46" s="41"/>
      <c r="H46" s="42">
        <v>718019.0</v>
      </c>
      <c r="I46" s="43"/>
      <c r="J46" s="43"/>
      <c r="K46" s="43"/>
      <c r="L46" s="43"/>
      <c r="M46" s="43"/>
      <c r="N46" s="43"/>
      <c r="O46" s="43"/>
      <c r="P46" s="44" t="s">
        <v>195</v>
      </c>
      <c r="Q46" s="45"/>
      <c r="R46" s="45"/>
    </row>
    <row r="47" ht="15.75" customHeight="1">
      <c r="A47" s="48"/>
      <c r="B47" s="49"/>
      <c r="C47" s="50" t="s">
        <v>196</v>
      </c>
      <c r="D47" s="51" t="s">
        <v>197</v>
      </c>
      <c r="E47" s="62">
        <v>3778.0</v>
      </c>
      <c r="F47" s="63">
        <v>1889.0</v>
      </c>
      <c r="G47" s="54"/>
      <c r="H47" s="55">
        <v>1408.0</v>
      </c>
      <c r="I47" s="56" t="str">
        <f t="shared" ref="I47:I65" si="5">IF(AND(ISNUMBER(G47),ISNUMBER(H47)),H47-G47,"")</f>
        <v/>
      </c>
      <c r="J47" s="57">
        <f t="shared" ref="J47:J65" si="6">IF(AND(ISNUMBER(E47),E47&gt;0,ISNUMBER(H47)),H47/E47,"")</f>
        <v>0.3726839598</v>
      </c>
      <c r="K47" s="54" t="s">
        <v>9</v>
      </c>
      <c r="L47" s="58" t="str">
        <f>IF(M47="Yes","🔴 BOTTOM",IF(M47="No","✓ Cleared",IF(Q47="MIN",IF(AND(ISNUMBER(F47),ISNUMBER(H47)),IF(H47&lt;F47*'Master Dashboard'!$B$4,"🔴 LOW",""),""),IF(Q47="MAX",IF(AND(ISNUMBER(F47),ISNUMBER(H47)),IF(H47&gt;F47,"🔴 HIGH",""),""),""))))</f>
        <v>🔴 LOW</v>
      </c>
      <c r="M47" s="54" t="s">
        <v>82</v>
      </c>
      <c r="N47" s="59" t="s">
        <v>83</v>
      </c>
      <c r="O47" s="60" t="s">
        <v>84</v>
      </c>
      <c r="P47" s="61" t="s">
        <v>198</v>
      </c>
      <c r="Q47" s="60" t="s">
        <v>110</v>
      </c>
      <c r="R47" s="60" t="s">
        <v>199</v>
      </c>
    </row>
    <row r="48" ht="15.75" customHeight="1">
      <c r="A48" s="48"/>
      <c r="B48" s="49"/>
      <c r="C48" s="50" t="s">
        <v>200</v>
      </c>
      <c r="D48" s="51" t="s">
        <v>201</v>
      </c>
      <c r="E48" s="62">
        <v>859510.0</v>
      </c>
      <c r="F48" s="63">
        <v>773559.0</v>
      </c>
      <c r="G48" s="54"/>
      <c r="H48" s="55">
        <v>718019.0</v>
      </c>
      <c r="I48" s="56" t="str">
        <f t="shared" si="5"/>
        <v/>
      </c>
      <c r="J48" s="57">
        <f t="shared" si="6"/>
        <v>0.8353817873</v>
      </c>
      <c r="K48" s="54" t="s">
        <v>9</v>
      </c>
      <c r="L48" s="58" t="str">
        <f>IF(M48="Yes","🔴 BOTTOM",IF(M48="No","✓ Cleared",IF(Q48="MIN",IF(AND(ISNUMBER(F48),ISNUMBER(H48)),IF(H48&lt;F48*'Master Dashboard'!$B$4,"🔴 LOW",""),""),IF(Q48="MAX",IF(AND(ISNUMBER(F48),ISNUMBER(H48)),IF(H48&gt;F48,"🔴 HIGH",""),""),""))))</f>
        <v>🔴 LOW</v>
      </c>
      <c r="M48" s="54" t="s">
        <v>82</v>
      </c>
      <c r="N48" s="59" t="s">
        <v>83</v>
      </c>
      <c r="O48" s="60" t="s">
        <v>84</v>
      </c>
      <c r="P48" s="61" t="s">
        <v>202</v>
      </c>
      <c r="Q48" s="60" t="s">
        <v>110</v>
      </c>
      <c r="R48" s="60" t="s">
        <v>203</v>
      </c>
    </row>
    <row r="49" ht="15.75" customHeight="1">
      <c r="A49" s="48"/>
      <c r="B49" s="49"/>
      <c r="C49" s="50" t="s">
        <v>204</v>
      </c>
      <c r="D49" s="51" t="s">
        <v>197</v>
      </c>
      <c r="E49" s="62">
        <v>348.0</v>
      </c>
      <c r="F49" s="63">
        <v>174.0</v>
      </c>
      <c r="G49" s="54"/>
      <c r="H49" s="55">
        <v>196.0</v>
      </c>
      <c r="I49" s="56" t="str">
        <f t="shared" si="5"/>
        <v/>
      </c>
      <c r="J49" s="57">
        <f t="shared" si="6"/>
        <v>0.5632183908</v>
      </c>
      <c r="K49" s="54" t="s">
        <v>9</v>
      </c>
      <c r="L49" s="58" t="str">
        <f>IF(M49="Yes","🔴 BOTTOM",IF(M49="No","✓ Cleared",IF(Q49="MIN",IF(AND(ISNUMBER(F49),ISNUMBER(H49)),IF(H49&lt;F49*'Master Dashboard'!$B$4,"🔴 LOW",""),""),IF(Q49="MAX",IF(AND(ISNUMBER(F49),ISNUMBER(H49)),IF(H49&gt;F49,"🔴 HIGH",""),""),""))))</f>
        <v/>
      </c>
      <c r="M49" s="54" t="s">
        <v>82</v>
      </c>
      <c r="N49" s="59" t="s">
        <v>83</v>
      </c>
      <c r="O49" s="60" t="s">
        <v>84</v>
      </c>
      <c r="P49" s="61" t="s">
        <v>205</v>
      </c>
      <c r="Q49" s="60" t="s">
        <v>110</v>
      </c>
      <c r="R49" s="60" t="s">
        <v>206</v>
      </c>
    </row>
    <row r="50" ht="15.75" customHeight="1">
      <c r="A50" s="48"/>
      <c r="B50" s="49"/>
      <c r="C50" s="50" t="s">
        <v>207</v>
      </c>
      <c r="D50" s="51" t="s">
        <v>197</v>
      </c>
      <c r="E50" s="62">
        <v>158.0</v>
      </c>
      <c r="F50" s="63">
        <v>79.0</v>
      </c>
      <c r="G50" s="54"/>
      <c r="H50" s="55">
        <v>135.0</v>
      </c>
      <c r="I50" s="56" t="str">
        <f t="shared" si="5"/>
        <v/>
      </c>
      <c r="J50" s="57">
        <f t="shared" si="6"/>
        <v>0.8544303797</v>
      </c>
      <c r="K50" s="54" t="s">
        <v>9</v>
      </c>
      <c r="L50" s="58" t="str">
        <f>IF(M50="Yes","🔴 BOTTOM",IF(M50="No","✓ Cleared",IF(Q50="MIN",IF(AND(ISNUMBER(F50),ISNUMBER(H50)),IF(H50&lt;F50*'Master Dashboard'!$B$4,"🔴 LOW",""),""),IF(Q50="MAX",IF(AND(ISNUMBER(F50),ISNUMBER(H50)),IF(H50&gt;F50,"🔴 HIGH",""),""),""))))</f>
        <v/>
      </c>
      <c r="M50" s="54" t="s">
        <v>82</v>
      </c>
      <c r="N50" s="59" t="s">
        <v>83</v>
      </c>
      <c r="O50" s="60" t="s">
        <v>84</v>
      </c>
      <c r="P50" s="61" t="s">
        <v>208</v>
      </c>
      <c r="Q50" s="60" t="s">
        <v>110</v>
      </c>
      <c r="R50" s="60" t="s">
        <v>209</v>
      </c>
    </row>
    <row r="51" ht="15.75" customHeight="1">
      <c r="A51" s="48"/>
      <c r="B51" s="49"/>
      <c r="C51" s="50" t="s">
        <v>210</v>
      </c>
      <c r="D51" s="51" t="s">
        <v>197</v>
      </c>
      <c r="E51" s="62">
        <v>302.0</v>
      </c>
      <c r="F51" s="63">
        <v>151.0</v>
      </c>
      <c r="G51" s="54"/>
      <c r="H51" s="55">
        <v>139.0</v>
      </c>
      <c r="I51" s="56" t="str">
        <f t="shared" si="5"/>
        <v/>
      </c>
      <c r="J51" s="57">
        <f t="shared" si="6"/>
        <v>0.4602649007</v>
      </c>
      <c r="K51" s="54" t="s">
        <v>9</v>
      </c>
      <c r="L51" s="58" t="str">
        <f>IF(M51="Yes","🔴 BOTTOM",IF(M51="No","✓ Cleared",IF(Q51="MIN",IF(AND(ISNUMBER(F51),ISNUMBER(H51)),IF(H51&lt;F51*'Master Dashboard'!$B$4,"🔴 LOW",""),""),IF(Q51="MAX",IF(AND(ISNUMBER(F51),ISNUMBER(H51)),IF(H51&gt;F51,"🔴 HIGH",""),""),""))))</f>
        <v>🔴 LOW</v>
      </c>
      <c r="M51" s="54" t="s">
        <v>82</v>
      </c>
      <c r="N51" s="59" t="s">
        <v>83</v>
      </c>
      <c r="O51" s="60" t="s">
        <v>84</v>
      </c>
      <c r="P51" s="61" t="s">
        <v>211</v>
      </c>
      <c r="Q51" s="60" t="s">
        <v>110</v>
      </c>
      <c r="R51" s="60" t="s">
        <v>212</v>
      </c>
    </row>
    <row r="52" ht="15.75" customHeight="1">
      <c r="A52" s="48"/>
      <c r="B52" s="49"/>
      <c r="C52" s="50" t="s">
        <v>213</v>
      </c>
      <c r="D52" s="51" t="s">
        <v>197</v>
      </c>
      <c r="E52" s="62">
        <v>994.0</v>
      </c>
      <c r="F52" s="63">
        <v>497.0</v>
      </c>
      <c r="G52" s="54"/>
      <c r="H52" s="55">
        <v>230.0</v>
      </c>
      <c r="I52" s="56" t="str">
        <f t="shared" si="5"/>
        <v/>
      </c>
      <c r="J52" s="57">
        <f t="shared" si="6"/>
        <v>0.23138833</v>
      </c>
      <c r="K52" s="54" t="s">
        <v>9</v>
      </c>
      <c r="L52" s="58" t="str">
        <f>IF(M52="Yes","🔴 BOTTOM",IF(M52="No","✓ Cleared",IF(Q52="MIN",IF(AND(ISNUMBER(F52),ISNUMBER(H52)),IF(H52&lt;F52*'Master Dashboard'!$B$4,"🔴 LOW",""),""),IF(Q52="MAX",IF(AND(ISNUMBER(F52),ISNUMBER(H52)),IF(H52&gt;F52,"🔴 HIGH",""),""),""))))</f>
        <v>🔴 LOW</v>
      </c>
      <c r="M52" s="54" t="s">
        <v>82</v>
      </c>
      <c r="N52" s="59" t="s">
        <v>83</v>
      </c>
      <c r="O52" s="60" t="s">
        <v>84</v>
      </c>
      <c r="P52" s="61" t="s">
        <v>214</v>
      </c>
      <c r="Q52" s="60" t="s">
        <v>110</v>
      </c>
      <c r="R52" s="60" t="s">
        <v>215</v>
      </c>
    </row>
    <row r="53" ht="15.75" customHeight="1">
      <c r="A53" s="48"/>
      <c r="B53" s="49"/>
      <c r="C53" s="50" t="s">
        <v>216</v>
      </c>
      <c r="D53" s="51" t="s">
        <v>197</v>
      </c>
      <c r="E53" s="62">
        <v>679.0</v>
      </c>
      <c r="F53" s="63">
        <v>340.0</v>
      </c>
      <c r="G53" s="54"/>
      <c r="H53" s="55">
        <v>16.0</v>
      </c>
      <c r="I53" s="56" t="str">
        <f t="shared" si="5"/>
        <v/>
      </c>
      <c r="J53" s="57">
        <f t="shared" si="6"/>
        <v>0.0235640648</v>
      </c>
      <c r="K53" s="54" t="s">
        <v>9</v>
      </c>
      <c r="L53" s="58" t="str">
        <f>IF(M53="Yes","🔴 BOTTOM",IF(M53="No","✓ Cleared",IF(Q53="MIN",IF(AND(ISNUMBER(F53),ISNUMBER(H53)),IF(H53&lt;F53*'Master Dashboard'!$B$4,"🔴 LOW",""),""),IF(Q53="MAX",IF(AND(ISNUMBER(F53),ISNUMBER(H53)),IF(H53&gt;F53,"🔴 HIGH",""),""),""))))</f>
        <v>🔴 LOW</v>
      </c>
      <c r="M53" s="54" t="s">
        <v>82</v>
      </c>
      <c r="N53" s="59" t="s">
        <v>83</v>
      </c>
      <c r="O53" s="60" t="s">
        <v>84</v>
      </c>
      <c r="P53" s="61" t="s">
        <v>217</v>
      </c>
      <c r="Q53" s="60" t="s">
        <v>110</v>
      </c>
      <c r="R53" s="60" t="s">
        <v>218</v>
      </c>
    </row>
    <row r="54" ht="15.75" customHeight="1">
      <c r="A54" s="48"/>
      <c r="B54" s="49"/>
      <c r="C54" s="50" t="s">
        <v>219</v>
      </c>
      <c r="D54" s="51" t="s">
        <v>197</v>
      </c>
      <c r="E54" s="62">
        <v>274.0</v>
      </c>
      <c r="F54" s="63">
        <v>137.0</v>
      </c>
      <c r="G54" s="54"/>
      <c r="H54" s="55">
        <v>122.0</v>
      </c>
      <c r="I54" s="56" t="str">
        <f t="shared" si="5"/>
        <v/>
      </c>
      <c r="J54" s="57">
        <f t="shared" si="6"/>
        <v>0.4452554745</v>
      </c>
      <c r="K54" s="54" t="s">
        <v>9</v>
      </c>
      <c r="L54" s="58" t="str">
        <f>IF(M54="Yes","🔴 BOTTOM",IF(M54="No","✓ Cleared",IF(Q54="MIN",IF(AND(ISNUMBER(F54),ISNUMBER(H54)),IF(H54&lt;F54*'Master Dashboard'!$B$4,"🔴 LOW",""),""),IF(Q54="MAX",IF(AND(ISNUMBER(F54),ISNUMBER(H54)),IF(H54&gt;F54,"🔴 HIGH",""),""),""))))</f>
        <v>🔴 LOW</v>
      </c>
      <c r="M54" s="54" t="s">
        <v>82</v>
      </c>
      <c r="N54" s="59" t="s">
        <v>83</v>
      </c>
      <c r="O54" s="60" t="s">
        <v>84</v>
      </c>
      <c r="P54" s="61" t="s">
        <v>220</v>
      </c>
      <c r="Q54" s="60" t="s">
        <v>110</v>
      </c>
      <c r="R54" s="60" t="s">
        <v>221</v>
      </c>
    </row>
    <row r="55" ht="15.75" customHeight="1">
      <c r="A55" s="48"/>
      <c r="B55" s="49"/>
      <c r="C55" s="50" t="s">
        <v>222</v>
      </c>
      <c r="D55" s="51" t="s">
        <v>197</v>
      </c>
      <c r="E55" s="62">
        <v>435.0</v>
      </c>
      <c r="F55" s="63">
        <v>218.0</v>
      </c>
      <c r="G55" s="54"/>
      <c r="H55" s="55">
        <v>278.0</v>
      </c>
      <c r="I55" s="56" t="str">
        <f t="shared" si="5"/>
        <v/>
      </c>
      <c r="J55" s="57">
        <f t="shared" si="6"/>
        <v>0.6390804598</v>
      </c>
      <c r="K55" s="54" t="s">
        <v>9</v>
      </c>
      <c r="L55" s="58" t="str">
        <f>IF(M55="Yes","🔴 BOTTOM",IF(M55="No","✓ Cleared",IF(Q55="MIN",IF(AND(ISNUMBER(F55),ISNUMBER(H55)),IF(H55&lt;F55*'Master Dashboard'!$B$4,"🔴 LOW",""),""),IF(Q55="MAX",IF(AND(ISNUMBER(F55),ISNUMBER(H55)),IF(H55&gt;F55,"🔴 HIGH",""),""),""))))</f>
        <v/>
      </c>
      <c r="M55" s="54" t="s">
        <v>82</v>
      </c>
      <c r="N55" s="59" t="s">
        <v>83</v>
      </c>
      <c r="O55" s="60" t="s">
        <v>84</v>
      </c>
      <c r="P55" s="61" t="s">
        <v>223</v>
      </c>
      <c r="Q55" s="60" t="s">
        <v>110</v>
      </c>
      <c r="R55" s="60" t="s">
        <v>224</v>
      </c>
    </row>
    <row r="56" ht="15.75" customHeight="1">
      <c r="A56" s="48"/>
      <c r="B56" s="49"/>
      <c r="C56" s="50" t="s">
        <v>225</v>
      </c>
      <c r="D56" s="51" t="s">
        <v>197</v>
      </c>
      <c r="E56" s="62">
        <v>49.0</v>
      </c>
      <c r="F56" s="63">
        <v>24.0</v>
      </c>
      <c r="G56" s="54"/>
      <c r="H56" s="55">
        <v>33.0</v>
      </c>
      <c r="I56" s="56" t="str">
        <f t="shared" si="5"/>
        <v/>
      </c>
      <c r="J56" s="57">
        <f t="shared" si="6"/>
        <v>0.6734693878</v>
      </c>
      <c r="K56" s="54" t="s">
        <v>9</v>
      </c>
      <c r="L56" s="58" t="str">
        <f>IF(M56="Yes","🔴 BOTTOM",IF(M56="No","✓ Cleared",IF(Q56="MIN",IF(AND(ISNUMBER(F56),ISNUMBER(H56)),IF(H56&lt;F56*'Master Dashboard'!$B$4,"🔴 LOW",""),""),IF(Q56="MAX",IF(AND(ISNUMBER(F56),ISNUMBER(H56)),IF(H56&gt;F56,"🔴 HIGH",""),""),""))))</f>
        <v/>
      </c>
      <c r="M56" s="54" t="s">
        <v>82</v>
      </c>
      <c r="N56" s="59" t="s">
        <v>83</v>
      </c>
      <c r="O56" s="60" t="s">
        <v>84</v>
      </c>
      <c r="P56" s="61" t="s">
        <v>226</v>
      </c>
      <c r="Q56" s="60" t="s">
        <v>110</v>
      </c>
      <c r="R56" s="60" t="s">
        <v>227</v>
      </c>
    </row>
    <row r="57" ht="15.75" customHeight="1">
      <c r="A57" s="48"/>
      <c r="B57" s="49"/>
      <c r="C57" s="50" t="s">
        <v>228</v>
      </c>
      <c r="D57" s="51" t="s">
        <v>197</v>
      </c>
      <c r="E57" s="62">
        <v>38.0</v>
      </c>
      <c r="F57" s="63">
        <v>19.0</v>
      </c>
      <c r="G57" s="54"/>
      <c r="H57" s="55">
        <v>30.0</v>
      </c>
      <c r="I57" s="56" t="str">
        <f t="shared" si="5"/>
        <v/>
      </c>
      <c r="J57" s="57">
        <f t="shared" si="6"/>
        <v>0.7894736842</v>
      </c>
      <c r="K57" s="54" t="s">
        <v>9</v>
      </c>
      <c r="L57" s="58" t="str">
        <f>IF(M57="Yes","🔴 BOTTOM",IF(M57="No","✓ Cleared",IF(Q57="MIN",IF(AND(ISNUMBER(F57),ISNUMBER(H57)),IF(H57&lt;F57*'Master Dashboard'!$B$4,"🔴 LOW",""),""),IF(Q57="MAX",IF(AND(ISNUMBER(F57),ISNUMBER(H57)),IF(H57&gt;F57,"🔴 HIGH",""),""),""))))</f>
        <v/>
      </c>
      <c r="M57" s="54" t="s">
        <v>82</v>
      </c>
      <c r="N57" s="59" t="s">
        <v>83</v>
      </c>
      <c r="O57" s="60" t="s">
        <v>84</v>
      </c>
      <c r="P57" s="61" t="s">
        <v>229</v>
      </c>
      <c r="Q57" s="60" t="s">
        <v>110</v>
      </c>
      <c r="R57" s="60" t="s">
        <v>230</v>
      </c>
    </row>
    <row r="58" ht="15.75" customHeight="1">
      <c r="A58" s="48"/>
      <c r="B58" s="49"/>
      <c r="C58" s="50" t="s">
        <v>231</v>
      </c>
      <c r="D58" s="51" t="s">
        <v>197</v>
      </c>
      <c r="E58" s="62">
        <v>224.0</v>
      </c>
      <c r="F58" s="63">
        <v>112.0</v>
      </c>
      <c r="G58" s="54"/>
      <c r="H58" s="55">
        <v>125.0</v>
      </c>
      <c r="I58" s="56" t="str">
        <f t="shared" si="5"/>
        <v/>
      </c>
      <c r="J58" s="57">
        <f t="shared" si="6"/>
        <v>0.5580357143</v>
      </c>
      <c r="K58" s="54" t="s">
        <v>9</v>
      </c>
      <c r="L58" s="58" t="str">
        <f>IF(M58="Yes","🔴 BOTTOM",IF(M58="No","✓ Cleared",IF(Q58="MIN",IF(AND(ISNUMBER(F58),ISNUMBER(H58)),IF(H58&lt;F58*'Master Dashboard'!$B$4,"🔴 LOW",""),""),IF(Q58="MAX",IF(AND(ISNUMBER(F58),ISNUMBER(H58)),IF(H58&gt;F58,"🔴 HIGH",""),""),""))))</f>
        <v/>
      </c>
      <c r="M58" s="54" t="s">
        <v>82</v>
      </c>
      <c r="N58" s="59" t="s">
        <v>83</v>
      </c>
      <c r="O58" s="60" t="s">
        <v>84</v>
      </c>
      <c r="P58" s="61" t="s">
        <v>232</v>
      </c>
      <c r="Q58" s="60" t="s">
        <v>110</v>
      </c>
      <c r="R58" s="60" t="s">
        <v>233</v>
      </c>
    </row>
    <row r="59" ht="15.75" customHeight="1">
      <c r="A59" s="48"/>
      <c r="B59" s="49"/>
      <c r="C59" s="50" t="s">
        <v>234</v>
      </c>
      <c r="D59" s="51" t="s">
        <v>197</v>
      </c>
      <c r="E59" s="62">
        <v>12.0</v>
      </c>
      <c r="F59" s="63">
        <v>6.0</v>
      </c>
      <c r="G59" s="54"/>
      <c r="H59" s="55">
        <v>8.0</v>
      </c>
      <c r="I59" s="56" t="str">
        <f t="shared" si="5"/>
        <v/>
      </c>
      <c r="J59" s="57">
        <f t="shared" si="6"/>
        <v>0.6666666667</v>
      </c>
      <c r="K59" s="54" t="s">
        <v>9</v>
      </c>
      <c r="L59" s="58" t="str">
        <f>IF(M59="Yes","🔴 BOTTOM",IF(M59="No","✓ Cleared",IF(Q59="MIN",IF(AND(ISNUMBER(F59),ISNUMBER(H59)),IF(H59&lt;F59*'Master Dashboard'!$B$4,"🔴 LOW",""),""),IF(Q59="MAX",IF(AND(ISNUMBER(F59),ISNUMBER(H59)),IF(H59&gt;F59,"🔴 HIGH",""),""),""))))</f>
        <v/>
      </c>
      <c r="M59" s="54" t="s">
        <v>82</v>
      </c>
      <c r="N59" s="59" t="s">
        <v>83</v>
      </c>
      <c r="O59" s="60" t="s">
        <v>84</v>
      </c>
      <c r="P59" s="61" t="s">
        <v>235</v>
      </c>
      <c r="Q59" s="60" t="s">
        <v>110</v>
      </c>
      <c r="R59" s="60" t="s">
        <v>236</v>
      </c>
    </row>
    <row r="60" ht="15.75" customHeight="1">
      <c r="A60" s="48"/>
      <c r="B60" s="49"/>
      <c r="C60" s="50" t="s">
        <v>237</v>
      </c>
      <c r="D60" s="51" t="s">
        <v>197</v>
      </c>
      <c r="E60" s="62">
        <v>13.0</v>
      </c>
      <c r="F60" s="63">
        <v>6.0</v>
      </c>
      <c r="G60" s="54"/>
      <c r="H60" s="55">
        <v>4.0</v>
      </c>
      <c r="I60" s="56" t="str">
        <f t="shared" si="5"/>
        <v/>
      </c>
      <c r="J60" s="57">
        <f t="shared" si="6"/>
        <v>0.3076923077</v>
      </c>
      <c r="K60" s="54" t="s">
        <v>9</v>
      </c>
      <c r="L60" s="58" t="str">
        <f>IF(M60="Yes","🔴 BOTTOM",IF(M60="No","✓ Cleared",IF(Q60="MIN",IF(AND(ISNUMBER(F60),ISNUMBER(H60)),IF(H60&lt;F60*'Master Dashboard'!$B$4,"🔴 LOW",""),""),IF(Q60="MAX",IF(AND(ISNUMBER(F60),ISNUMBER(H60)),IF(H60&gt;F60,"🔴 HIGH",""),""),""))))</f>
        <v>🔴 LOW</v>
      </c>
      <c r="M60" s="54" t="s">
        <v>82</v>
      </c>
      <c r="N60" s="59" t="s">
        <v>83</v>
      </c>
      <c r="O60" s="60" t="s">
        <v>84</v>
      </c>
      <c r="P60" s="61" t="s">
        <v>238</v>
      </c>
      <c r="Q60" s="60" t="s">
        <v>110</v>
      </c>
      <c r="R60" s="60" t="s">
        <v>239</v>
      </c>
    </row>
    <row r="61" ht="15.75" customHeight="1">
      <c r="A61" s="48"/>
      <c r="B61" s="49"/>
      <c r="C61" s="50" t="s">
        <v>240</v>
      </c>
      <c r="D61" s="51" t="s">
        <v>197</v>
      </c>
      <c r="E61" s="62">
        <v>42.0</v>
      </c>
      <c r="F61" s="63">
        <v>21.0</v>
      </c>
      <c r="G61" s="54"/>
      <c r="H61" s="55">
        <v>37.0</v>
      </c>
      <c r="I61" s="56" t="str">
        <f t="shared" si="5"/>
        <v/>
      </c>
      <c r="J61" s="57">
        <f t="shared" si="6"/>
        <v>0.880952381</v>
      </c>
      <c r="K61" s="54" t="s">
        <v>9</v>
      </c>
      <c r="L61" s="58" t="str">
        <f>IF(M61="Yes","🔴 BOTTOM",IF(M61="No","✓ Cleared",IF(Q61="MIN",IF(AND(ISNUMBER(F61),ISNUMBER(H61)),IF(H61&lt;F61*'Master Dashboard'!$B$4,"🔴 LOW",""),""),IF(Q61="MAX",IF(AND(ISNUMBER(F61),ISNUMBER(H61)),IF(H61&gt;F61,"🔴 HIGH",""),""),""))))</f>
        <v/>
      </c>
      <c r="M61" s="54" t="s">
        <v>82</v>
      </c>
      <c r="N61" s="59" t="s">
        <v>83</v>
      </c>
      <c r="O61" s="60" t="s">
        <v>84</v>
      </c>
      <c r="P61" s="61" t="s">
        <v>241</v>
      </c>
      <c r="Q61" s="60" t="s">
        <v>110</v>
      </c>
      <c r="R61" s="60" t="s">
        <v>242</v>
      </c>
    </row>
    <row r="62" ht="15.75" customHeight="1">
      <c r="A62" s="48"/>
      <c r="B62" s="49"/>
      <c r="C62" s="50" t="s">
        <v>243</v>
      </c>
      <c r="D62" s="51" t="s">
        <v>197</v>
      </c>
      <c r="E62" s="62">
        <v>45.0</v>
      </c>
      <c r="F62" s="63">
        <v>22.0</v>
      </c>
      <c r="G62" s="54"/>
      <c r="H62" s="55">
        <v>12.0</v>
      </c>
      <c r="I62" s="56" t="str">
        <f t="shared" si="5"/>
        <v/>
      </c>
      <c r="J62" s="57">
        <f t="shared" si="6"/>
        <v>0.2666666667</v>
      </c>
      <c r="K62" s="54" t="s">
        <v>9</v>
      </c>
      <c r="L62" s="58" t="str">
        <f>IF(M62="Yes","🔴 BOTTOM",IF(M62="No","✓ Cleared",IF(Q62="MIN",IF(AND(ISNUMBER(F62),ISNUMBER(H62)),IF(H62&lt;F62*'Master Dashboard'!$B$4,"🔴 LOW",""),""),IF(Q62="MAX",IF(AND(ISNUMBER(F62),ISNUMBER(H62)),IF(H62&gt;F62,"🔴 HIGH",""),""),""))))</f>
        <v>🔴 LOW</v>
      </c>
      <c r="M62" s="54" t="s">
        <v>82</v>
      </c>
      <c r="N62" s="59" t="s">
        <v>83</v>
      </c>
      <c r="O62" s="60" t="s">
        <v>84</v>
      </c>
      <c r="P62" s="61" t="s">
        <v>244</v>
      </c>
      <c r="Q62" s="60" t="s">
        <v>110</v>
      </c>
      <c r="R62" s="60" t="s">
        <v>245</v>
      </c>
    </row>
    <row r="63" ht="15.75" customHeight="1">
      <c r="A63" s="48"/>
      <c r="B63" s="49"/>
      <c r="C63" s="50" t="s">
        <v>246</v>
      </c>
      <c r="D63" s="51" t="s">
        <v>197</v>
      </c>
      <c r="E63" s="62">
        <v>39.0</v>
      </c>
      <c r="F63" s="63">
        <v>20.0</v>
      </c>
      <c r="G63" s="54"/>
      <c r="H63" s="55">
        <v>13.0</v>
      </c>
      <c r="I63" s="56" t="str">
        <f t="shared" si="5"/>
        <v/>
      </c>
      <c r="J63" s="57">
        <f t="shared" si="6"/>
        <v>0.3333333333</v>
      </c>
      <c r="K63" s="54" t="s">
        <v>9</v>
      </c>
      <c r="L63" s="58" t="str">
        <f>IF(M63="Yes","🔴 BOTTOM",IF(M63="No","✓ Cleared",IF(Q63="MIN",IF(AND(ISNUMBER(F63),ISNUMBER(H63)),IF(H63&lt;F63*'Master Dashboard'!$B$4,"🔴 LOW",""),""),IF(Q63="MAX",IF(AND(ISNUMBER(F63),ISNUMBER(H63)),IF(H63&gt;F63,"🔴 HIGH",""),""),""))))</f>
        <v>🔴 LOW</v>
      </c>
      <c r="M63" s="54" t="s">
        <v>82</v>
      </c>
      <c r="N63" s="59" t="s">
        <v>83</v>
      </c>
      <c r="O63" s="60" t="s">
        <v>84</v>
      </c>
      <c r="P63" s="61" t="s">
        <v>247</v>
      </c>
      <c r="Q63" s="60" t="s">
        <v>110</v>
      </c>
      <c r="R63" s="60" t="s">
        <v>248</v>
      </c>
    </row>
    <row r="64" ht="15.75" customHeight="1">
      <c r="A64" s="48"/>
      <c r="B64" s="49"/>
      <c r="C64" s="50" t="s">
        <v>249</v>
      </c>
      <c r="D64" s="51" t="s">
        <v>197</v>
      </c>
      <c r="E64" s="62">
        <v>39.0</v>
      </c>
      <c r="F64" s="63">
        <v>20.0</v>
      </c>
      <c r="G64" s="54"/>
      <c r="H64" s="55">
        <v>14.0</v>
      </c>
      <c r="I64" s="56" t="str">
        <f t="shared" si="5"/>
        <v/>
      </c>
      <c r="J64" s="57">
        <f t="shared" si="6"/>
        <v>0.358974359</v>
      </c>
      <c r="K64" s="54" t="s">
        <v>9</v>
      </c>
      <c r="L64" s="58" t="str">
        <f>IF(M64="Yes","🔴 BOTTOM",IF(M64="No","✓ Cleared",IF(Q64="MIN",IF(AND(ISNUMBER(F64),ISNUMBER(H64)),IF(H64&lt;F64*'Master Dashboard'!$B$4,"🔴 LOW",""),""),IF(Q64="MAX",IF(AND(ISNUMBER(F64),ISNUMBER(H64)),IF(H64&gt;F64,"🔴 HIGH",""),""),""))))</f>
        <v>🔴 LOW</v>
      </c>
      <c r="M64" s="54" t="s">
        <v>82</v>
      </c>
      <c r="N64" s="59" t="s">
        <v>83</v>
      </c>
      <c r="O64" s="60" t="s">
        <v>84</v>
      </c>
      <c r="P64" s="61" t="s">
        <v>250</v>
      </c>
      <c r="Q64" s="60" t="s">
        <v>110</v>
      </c>
      <c r="R64" s="60" t="s">
        <v>251</v>
      </c>
    </row>
    <row r="65" ht="15.75" customHeight="1">
      <c r="A65" s="48"/>
      <c r="B65" s="49"/>
      <c r="C65" s="50" t="s">
        <v>252</v>
      </c>
      <c r="D65" s="51" t="s">
        <v>197</v>
      </c>
      <c r="E65" s="62">
        <v>87.0</v>
      </c>
      <c r="F65" s="63">
        <v>44.0</v>
      </c>
      <c r="G65" s="54"/>
      <c r="H65" s="55">
        <v>16.0</v>
      </c>
      <c r="I65" s="56" t="str">
        <f t="shared" si="5"/>
        <v/>
      </c>
      <c r="J65" s="57">
        <f t="shared" si="6"/>
        <v>0.183908046</v>
      </c>
      <c r="K65" s="54" t="s">
        <v>9</v>
      </c>
      <c r="L65" s="58" t="str">
        <f>IF(M65="Yes","🔴 BOTTOM",IF(M65="No","✓ Cleared",IF(Q65="MIN",IF(AND(ISNUMBER(F65),ISNUMBER(H65)),IF(H65&lt;F65*'Master Dashboard'!$B$4,"🔴 LOW",""),""),IF(Q65="MAX",IF(AND(ISNUMBER(F65),ISNUMBER(H65)),IF(H65&gt;F65,"🔴 HIGH",""),""),""))))</f>
        <v>🔴 LOW</v>
      </c>
      <c r="M65" s="54" t="s">
        <v>82</v>
      </c>
      <c r="N65" s="59" t="s">
        <v>83</v>
      </c>
      <c r="O65" s="60" t="s">
        <v>84</v>
      </c>
      <c r="P65" s="61" t="s">
        <v>253</v>
      </c>
      <c r="Q65" s="60" t="s">
        <v>110</v>
      </c>
      <c r="R65" s="60" t="s">
        <v>254</v>
      </c>
    </row>
    <row r="66" ht="15.75" customHeight="1">
      <c r="A66" s="35">
        <v>4.0</v>
      </c>
      <c r="B66" s="36" t="s">
        <v>255</v>
      </c>
      <c r="C66" s="37" t="s">
        <v>256</v>
      </c>
      <c r="D66" s="38"/>
      <c r="E66" s="39"/>
      <c r="F66" s="40"/>
      <c r="G66" s="41"/>
      <c r="H66" s="42">
        <v>2685915.0</v>
      </c>
      <c r="I66" s="43"/>
      <c r="J66" s="43"/>
      <c r="K66" s="43"/>
      <c r="L66" s="43"/>
      <c r="M66" s="43"/>
      <c r="N66" s="43"/>
      <c r="O66" s="43"/>
      <c r="P66" s="44" t="s">
        <v>257</v>
      </c>
      <c r="Q66" s="45"/>
      <c r="R66" s="45"/>
    </row>
    <row r="67" ht="15.75" customHeight="1">
      <c r="A67" s="48"/>
      <c r="B67" s="49"/>
      <c r="C67" s="50" t="s">
        <v>258</v>
      </c>
      <c r="D67" s="51" t="s">
        <v>259</v>
      </c>
      <c r="E67" s="62">
        <v>174276.0</v>
      </c>
      <c r="F67" s="63">
        <v>130707.0</v>
      </c>
      <c r="G67" s="54"/>
      <c r="H67" s="55">
        <v>134167.0</v>
      </c>
      <c r="I67" s="56" t="str">
        <f t="shared" ref="I67:I81" si="7">IF(AND(ISNUMBER(G67),ISNUMBER(H67)),H67-G67,"")</f>
        <v/>
      </c>
      <c r="J67" s="57">
        <f t="shared" ref="J67:J81" si="8">IF(AND(ISNUMBER(E67),E67&gt;0,ISNUMBER(H67)),H67/E67,"")</f>
        <v>0.7698535656</v>
      </c>
      <c r="K67" s="54" t="s">
        <v>8</v>
      </c>
      <c r="L67" s="58" t="str">
        <f>IF(M67="Yes","🔴 BOTTOM",IF(M67="No","✓ Cleared",IF(Q67="MIN",IF(AND(ISNUMBER(F67),ISNUMBER(H67)),IF(H67&lt;F67*'Master Dashboard'!$B$4,"🔴 LOW",""),""),IF(Q67="MAX",IF(AND(ISNUMBER(F67),ISNUMBER(H67)),IF(H67&gt;F67,"🔴 HIGH",""),""),""))))</f>
        <v/>
      </c>
      <c r="M67" s="54" t="s">
        <v>82</v>
      </c>
      <c r="N67" s="59" t="s">
        <v>83</v>
      </c>
      <c r="O67" s="60" t="s">
        <v>84</v>
      </c>
      <c r="P67" s="61" t="s">
        <v>260</v>
      </c>
      <c r="Q67" s="60" t="s">
        <v>110</v>
      </c>
      <c r="R67" s="60" t="s">
        <v>261</v>
      </c>
    </row>
    <row r="68" ht="15.75" customHeight="1">
      <c r="A68" s="48"/>
      <c r="B68" s="49"/>
      <c r="C68" s="50" t="s">
        <v>262</v>
      </c>
      <c r="D68" s="51" t="s">
        <v>259</v>
      </c>
      <c r="E68" s="62">
        <v>176828.0</v>
      </c>
      <c r="F68" s="63">
        <v>132621.0</v>
      </c>
      <c r="G68" s="54"/>
      <c r="H68" s="55">
        <v>154962.0</v>
      </c>
      <c r="I68" s="56" t="str">
        <f t="shared" si="7"/>
        <v/>
      </c>
      <c r="J68" s="57">
        <f t="shared" si="8"/>
        <v>0.8763431131</v>
      </c>
      <c r="K68" s="54" t="s">
        <v>8</v>
      </c>
      <c r="L68" s="58" t="str">
        <f>IF(M68="Yes","🔴 BOTTOM",IF(M68="No","✓ Cleared",IF(Q68="MIN",IF(AND(ISNUMBER(F68),ISNUMBER(H68)),IF(H68&lt;F68*'Master Dashboard'!$B$4,"🔴 LOW",""),""),IF(Q68="MAX",IF(AND(ISNUMBER(F68),ISNUMBER(H68)),IF(H68&gt;F68,"🔴 HIGH",""),""),""))))</f>
        <v/>
      </c>
      <c r="M68" s="54" t="s">
        <v>82</v>
      </c>
      <c r="N68" s="59" t="s">
        <v>83</v>
      </c>
      <c r="O68" s="60" t="s">
        <v>84</v>
      </c>
      <c r="P68" s="61" t="s">
        <v>263</v>
      </c>
      <c r="Q68" s="60" t="s">
        <v>110</v>
      </c>
      <c r="R68" s="60" t="s">
        <v>264</v>
      </c>
    </row>
    <row r="69" ht="15.75" customHeight="1">
      <c r="A69" s="48"/>
      <c r="B69" s="49"/>
      <c r="C69" s="50" t="s">
        <v>265</v>
      </c>
      <c r="D69" s="51" t="s">
        <v>259</v>
      </c>
      <c r="E69" s="62">
        <v>274011.0</v>
      </c>
      <c r="F69" s="63">
        <v>205508.0</v>
      </c>
      <c r="G69" s="54"/>
      <c r="H69" s="55">
        <v>193740.0</v>
      </c>
      <c r="I69" s="56" t="str">
        <f t="shared" si="7"/>
        <v/>
      </c>
      <c r="J69" s="57">
        <f t="shared" si="8"/>
        <v>0.7070519067</v>
      </c>
      <c r="K69" s="54" t="s">
        <v>9</v>
      </c>
      <c r="L69" s="58" t="str">
        <f>IF(M69="Yes","🔴 BOTTOM",IF(M69="No","✓ Cleared",IF(Q69="MIN",IF(AND(ISNUMBER(F69),ISNUMBER(H69)),IF(H69&lt;F69*'Master Dashboard'!$B$4,"🔴 LOW",""),""),IF(Q69="MAX",IF(AND(ISNUMBER(F69),ISNUMBER(H69)),IF(H69&gt;F69,"🔴 HIGH",""),""),""))))</f>
        <v>🔴 LOW</v>
      </c>
      <c r="M69" s="54" t="s">
        <v>82</v>
      </c>
      <c r="N69" s="59" t="s">
        <v>83</v>
      </c>
      <c r="O69" s="60" t="s">
        <v>84</v>
      </c>
      <c r="P69" s="61" t="s">
        <v>266</v>
      </c>
      <c r="Q69" s="60" t="s">
        <v>110</v>
      </c>
      <c r="R69" s="60" t="s">
        <v>267</v>
      </c>
    </row>
    <row r="70" ht="15.75" customHeight="1">
      <c r="A70" s="48"/>
      <c r="B70" s="49"/>
      <c r="C70" s="50" t="s">
        <v>268</v>
      </c>
      <c r="D70" s="51" t="s">
        <v>259</v>
      </c>
      <c r="E70" s="62">
        <v>228802.0</v>
      </c>
      <c r="F70" s="63">
        <v>171602.0</v>
      </c>
      <c r="G70" s="54"/>
      <c r="H70" s="55">
        <v>156290.0</v>
      </c>
      <c r="I70" s="56" t="str">
        <f t="shared" si="7"/>
        <v/>
      </c>
      <c r="J70" s="57">
        <f t="shared" si="8"/>
        <v>0.6830796934</v>
      </c>
      <c r="K70" s="54" t="s">
        <v>9</v>
      </c>
      <c r="L70" s="58" t="str">
        <f>IF(M70="Yes","🔴 BOTTOM",IF(M70="No","✓ Cleared",IF(Q70="MIN",IF(AND(ISNUMBER(F70),ISNUMBER(H70)),IF(H70&lt;F70*'Master Dashboard'!$B$4,"🔴 LOW",""),""),IF(Q70="MAX",IF(AND(ISNUMBER(F70),ISNUMBER(H70)),IF(H70&gt;F70,"🔴 HIGH",""),""),""))))</f>
        <v>🔴 LOW</v>
      </c>
      <c r="M70" s="54" t="s">
        <v>82</v>
      </c>
      <c r="N70" s="59" t="s">
        <v>83</v>
      </c>
      <c r="O70" s="60" t="s">
        <v>84</v>
      </c>
      <c r="P70" s="61" t="s">
        <v>269</v>
      </c>
      <c r="Q70" s="60" t="s">
        <v>110</v>
      </c>
      <c r="R70" s="60" t="s">
        <v>270</v>
      </c>
    </row>
    <row r="71" ht="15.75" customHeight="1">
      <c r="A71" s="48"/>
      <c r="B71" s="49"/>
      <c r="C71" s="50" t="s">
        <v>271</v>
      </c>
      <c r="D71" s="51" t="s">
        <v>259</v>
      </c>
      <c r="E71" s="62">
        <v>183343.0</v>
      </c>
      <c r="F71" s="63">
        <v>137507.0</v>
      </c>
      <c r="G71" s="54"/>
      <c r="H71" s="55">
        <v>109236.0</v>
      </c>
      <c r="I71" s="56" t="str">
        <f t="shared" si="7"/>
        <v/>
      </c>
      <c r="J71" s="57">
        <f t="shared" si="8"/>
        <v>0.5958013123</v>
      </c>
      <c r="K71" s="54" t="s">
        <v>9</v>
      </c>
      <c r="L71" s="58" t="str">
        <f>IF(M71="Yes","🔴 BOTTOM",IF(M71="No","✓ Cleared",IF(Q71="MIN",IF(AND(ISNUMBER(F71),ISNUMBER(H71)),IF(H71&lt;F71*'Master Dashboard'!$B$4,"🔴 LOW",""),""),IF(Q71="MAX",IF(AND(ISNUMBER(F71),ISNUMBER(H71)),IF(H71&gt;F71,"🔴 HIGH",""),""),""))))</f>
        <v>🔴 LOW</v>
      </c>
      <c r="M71" s="54" t="s">
        <v>82</v>
      </c>
      <c r="N71" s="59" t="s">
        <v>83</v>
      </c>
      <c r="O71" s="60" t="s">
        <v>84</v>
      </c>
      <c r="P71" s="61" t="s">
        <v>272</v>
      </c>
      <c r="Q71" s="60" t="s">
        <v>110</v>
      </c>
      <c r="R71" s="60" t="s">
        <v>273</v>
      </c>
    </row>
    <row r="72" ht="15.75" customHeight="1">
      <c r="A72" s="48"/>
      <c r="B72" s="49"/>
      <c r="C72" s="50" t="s">
        <v>274</v>
      </c>
      <c r="D72" s="51" t="s">
        <v>259</v>
      </c>
      <c r="E72" s="62">
        <v>160607.0</v>
      </c>
      <c r="F72" s="63">
        <v>120455.0</v>
      </c>
      <c r="G72" s="54"/>
      <c r="H72" s="55">
        <v>106731.0</v>
      </c>
      <c r="I72" s="56" t="str">
        <f t="shared" si="7"/>
        <v/>
      </c>
      <c r="J72" s="57">
        <f t="shared" si="8"/>
        <v>0.6645476225</v>
      </c>
      <c r="K72" s="54" t="s">
        <v>9</v>
      </c>
      <c r="L72" s="58" t="str">
        <f>IF(M72="Yes","🔴 BOTTOM",IF(M72="No","✓ Cleared",IF(Q72="MIN",IF(AND(ISNUMBER(F72),ISNUMBER(H72)),IF(H72&lt;F72*'Master Dashboard'!$B$4,"🔴 LOW",""),""),IF(Q72="MAX",IF(AND(ISNUMBER(F72),ISNUMBER(H72)),IF(H72&gt;F72,"🔴 HIGH",""),""),""))))</f>
        <v>🔴 LOW</v>
      </c>
      <c r="M72" s="54" t="s">
        <v>82</v>
      </c>
      <c r="N72" s="59" t="s">
        <v>83</v>
      </c>
      <c r="O72" s="60" t="s">
        <v>84</v>
      </c>
      <c r="P72" s="61" t="s">
        <v>275</v>
      </c>
      <c r="Q72" s="60" t="s">
        <v>110</v>
      </c>
      <c r="R72" s="60" t="s">
        <v>276</v>
      </c>
    </row>
    <row r="73" ht="15.75" customHeight="1">
      <c r="A73" s="48"/>
      <c r="B73" s="49"/>
      <c r="C73" s="50" t="s">
        <v>277</v>
      </c>
      <c r="D73" s="51" t="s">
        <v>259</v>
      </c>
      <c r="E73" s="62">
        <v>149728.0</v>
      </c>
      <c r="F73" s="63">
        <v>112296.0</v>
      </c>
      <c r="G73" s="54"/>
      <c r="H73" s="55">
        <v>103728.0</v>
      </c>
      <c r="I73" s="56" t="str">
        <f t="shared" si="7"/>
        <v/>
      </c>
      <c r="J73" s="57">
        <f t="shared" si="8"/>
        <v>0.6927762342</v>
      </c>
      <c r="K73" s="54" t="s">
        <v>9</v>
      </c>
      <c r="L73" s="58" t="str">
        <f>IF(M73="Yes","🔴 BOTTOM",IF(M73="No","✓ Cleared",IF(Q73="MIN",IF(AND(ISNUMBER(F73),ISNUMBER(H73)),IF(H73&lt;F73*'Master Dashboard'!$B$4,"🔴 LOW",""),""),IF(Q73="MAX",IF(AND(ISNUMBER(F73),ISNUMBER(H73)),IF(H73&gt;F73,"🔴 HIGH",""),""),""))))</f>
        <v>🔴 LOW</v>
      </c>
      <c r="M73" s="54" t="s">
        <v>82</v>
      </c>
      <c r="N73" s="59" t="s">
        <v>83</v>
      </c>
      <c r="O73" s="60" t="s">
        <v>84</v>
      </c>
      <c r="P73" s="61" t="s">
        <v>278</v>
      </c>
      <c r="Q73" s="60" t="s">
        <v>110</v>
      </c>
      <c r="R73" s="60" t="s">
        <v>279</v>
      </c>
    </row>
    <row r="74" ht="15.75" customHeight="1">
      <c r="A74" s="48"/>
      <c r="B74" s="49"/>
      <c r="C74" s="50" t="s">
        <v>280</v>
      </c>
      <c r="D74" s="51" t="s">
        <v>259</v>
      </c>
      <c r="E74" s="62">
        <v>169596.0</v>
      </c>
      <c r="F74" s="63">
        <v>127197.0</v>
      </c>
      <c r="G74" s="54"/>
      <c r="H74" s="55">
        <v>112402.0</v>
      </c>
      <c r="I74" s="56" t="str">
        <f t="shared" si="7"/>
        <v/>
      </c>
      <c r="J74" s="57">
        <f t="shared" si="8"/>
        <v>0.6627632727</v>
      </c>
      <c r="K74" s="54" t="s">
        <v>9</v>
      </c>
      <c r="L74" s="58" t="str">
        <f>IF(M74="Yes","🔴 BOTTOM",IF(M74="No","✓ Cleared",IF(Q74="MIN",IF(AND(ISNUMBER(F74),ISNUMBER(H74)),IF(H74&lt;F74*'Master Dashboard'!$B$4,"🔴 LOW",""),""),IF(Q74="MAX",IF(AND(ISNUMBER(F74),ISNUMBER(H74)),IF(H74&gt;F74,"🔴 HIGH",""),""),""))))</f>
        <v>🔴 LOW</v>
      </c>
      <c r="M74" s="54" t="s">
        <v>82</v>
      </c>
      <c r="N74" s="59" t="s">
        <v>83</v>
      </c>
      <c r="O74" s="60" t="s">
        <v>84</v>
      </c>
      <c r="P74" s="61" t="s">
        <v>281</v>
      </c>
      <c r="Q74" s="60" t="s">
        <v>110</v>
      </c>
      <c r="R74" s="60" t="s">
        <v>282</v>
      </c>
    </row>
    <row r="75" ht="15.75" customHeight="1">
      <c r="A75" s="48"/>
      <c r="B75" s="49"/>
      <c r="C75" s="50" t="s">
        <v>283</v>
      </c>
      <c r="D75" s="51" t="s">
        <v>259</v>
      </c>
      <c r="E75" s="62">
        <v>203121.0</v>
      </c>
      <c r="F75" s="63">
        <v>152341.0</v>
      </c>
      <c r="G75" s="54"/>
      <c r="H75" s="55">
        <v>142413.0</v>
      </c>
      <c r="I75" s="56" t="str">
        <f t="shared" si="7"/>
        <v/>
      </c>
      <c r="J75" s="57">
        <f t="shared" si="8"/>
        <v>0.7011239606</v>
      </c>
      <c r="K75" s="54" t="s">
        <v>9</v>
      </c>
      <c r="L75" s="58" t="str">
        <f>IF(M75="Yes","🔴 BOTTOM",IF(M75="No","✓ Cleared",IF(Q75="MIN",IF(AND(ISNUMBER(F75),ISNUMBER(H75)),IF(H75&lt;F75*'Master Dashboard'!$B$4,"🔴 LOW",""),""),IF(Q75="MAX",IF(AND(ISNUMBER(F75),ISNUMBER(H75)),IF(H75&gt;F75,"🔴 HIGH",""),""),""))))</f>
        <v>🔴 LOW</v>
      </c>
      <c r="M75" s="54" t="s">
        <v>82</v>
      </c>
      <c r="N75" s="59" t="s">
        <v>83</v>
      </c>
      <c r="O75" s="60" t="s">
        <v>84</v>
      </c>
      <c r="P75" s="61" t="s">
        <v>284</v>
      </c>
      <c r="Q75" s="60" t="s">
        <v>110</v>
      </c>
      <c r="R75" s="60" t="s">
        <v>285</v>
      </c>
    </row>
    <row r="76" ht="15.75" customHeight="1">
      <c r="A76" s="48"/>
      <c r="B76" s="49"/>
      <c r="C76" s="50" t="s">
        <v>286</v>
      </c>
      <c r="D76" s="51" t="s">
        <v>259</v>
      </c>
      <c r="E76" s="62">
        <v>284384.0</v>
      </c>
      <c r="F76" s="63">
        <v>213288.0</v>
      </c>
      <c r="G76" s="54"/>
      <c r="H76" s="55">
        <v>212563.0</v>
      </c>
      <c r="I76" s="56" t="str">
        <f t="shared" si="7"/>
        <v/>
      </c>
      <c r="J76" s="57">
        <f t="shared" si="8"/>
        <v>0.7474506301</v>
      </c>
      <c r="K76" s="54" t="s">
        <v>9</v>
      </c>
      <c r="L76" s="58" t="str">
        <f>IF(M76="Yes","🔴 BOTTOM",IF(M76="No","✓ Cleared",IF(Q76="MIN",IF(AND(ISNUMBER(F76),ISNUMBER(H76)),IF(H76&lt;F76*'Master Dashboard'!$B$4,"🔴 LOW",""),""),IF(Q76="MAX",IF(AND(ISNUMBER(F76),ISNUMBER(H76)),IF(H76&gt;F76,"🔴 HIGH",""),""),""))))</f>
        <v>🔴 LOW</v>
      </c>
      <c r="M76" s="54" t="s">
        <v>82</v>
      </c>
      <c r="N76" s="59" t="s">
        <v>83</v>
      </c>
      <c r="O76" s="60" t="s">
        <v>84</v>
      </c>
      <c r="P76" s="61" t="s">
        <v>287</v>
      </c>
      <c r="Q76" s="60" t="s">
        <v>110</v>
      </c>
      <c r="R76" s="60" t="s">
        <v>288</v>
      </c>
    </row>
    <row r="77" ht="15.75" customHeight="1">
      <c r="A77" s="48"/>
      <c r="B77" s="49"/>
      <c r="C77" s="50" t="s">
        <v>289</v>
      </c>
      <c r="D77" s="51" t="s">
        <v>259</v>
      </c>
      <c r="E77" s="62">
        <v>166556.0</v>
      </c>
      <c r="F77" s="63">
        <v>124917.0</v>
      </c>
      <c r="G77" s="54"/>
      <c r="H77" s="55">
        <v>147687.0</v>
      </c>
      <c r="I77" s="56" t="str">
        <f t="shared" si="7"/>
        <v/>
      </c>
      <c r="J77" s="57">
        <f t="shared" si="8"/>
        <v>0.886710776</v>
      </c>
      <c r="K77" s="54" t="s">
        <v>8</v>
      </c>
      <c r="L77" s="58" t="str">
        <f>IF(M77="Yes","🔴 BOTTOM",IF(M77="No","✓ Cleared",IF(Q77="MIN",IF(AND(ISNUMBER(F77),ISNUMBER(H77)),IF(H77&lt;F77*'Master Dashboard'!$B$4,"🔴 LOW",""),""),IF(Q77="MAX",IF(AND(ISNUMBER(F77),ISNUMBER(H77)),IF(H77&gt;F77,"🔴 HIGH",""),""),""))))</f>
        <v/>
      </c>
      <c r="M77" s="54" t="s">
        <v>82</v>
      </c>
      <c r="N77" s="59" t="s">
        <v>83</v>
      </c>
      <c r="O77" s="60" t="s">
        <v>84</v>
      </c>
      <c r="P77" s="61" t="s">
        <v>290</v>
      </c>
      <c r="Q77" s="60" t="s">
        <v>110</v>
      </c>
      <c r="R77" s="60" t="s">
        <v>291</v>
      </c>
    </row>
    <row r="78" ht="15.75" customHeight="1">
      <c r="A78" s="48"/>
      <c r="B78" s="49"/>
      <c r="C78" s="50" t="s">
        <v>292</v>
      </c>
      <c r="D78" s="51" t="s">
        <v>259</v>
      </c>
      <c r="E78" s="62">
        <v>184119.0</v>
      </c>
      <c r="F78" s="63">
        <v>138089.0</v>
      </c>
      <c r="G78" s="54"/>
      <c r="H78" s="55">
        <v>160838.0</v>
      </c>
      <c r="I78" s="56" t="str">
        <f t="shared" si="7"/>
        <v/>
      </c>
      <c r="J78" s="57">
        <f t="shared" si="8"/>
        <v>0.8735546033</v>
      </c>
      <c r="K78" s="54" t="s">
        <v>8</v>
      </c>
      <c r="L78" s="58" t="str">
        <f>IF(M78="Yes","🔴 BOTTOM",IF(M78="No","✓ Cleared",IF(Q78="MIN",IF(AND(ISNUMBER(F78),ISNUMBER(H78)),IF(H78&lt;F78*'Master Dashboard'!$B$4,"🔴 LOW",""),""),IF(Q78="MAX",IF(AND(ISNUMBER(F78),ISNUMBER(H78)),IF(H78&gt;F78,"🔴 HIGH",""),""),""))))</f>
        <v/>
      </c>
      <c r="M78" s="54" t="s">
        <v>82</v>
      </c>
      <c r="N78" s="59" t="s">
        <v>83</v>
      </c>
      <c r="O78" s="60" t="s">
        <v>84</v>
      </c>
      <c r="P78" s="61" t="s">
        <v>293</v>
      </c>
      <c r="Q78" s="60" t="s">
        <v>110</v>
      </c>
      <c r="R78" s="60" t="s">
        <v>294</v>
      </c>
    </row>
    <row r="79" ht="15.75" customHeight="1">
      <c r="A79" s="48"/>
      <c r="B79" s="49"/>
      <c r="C79" s="50" t="s">
        <v>295</v>
      </c>
      <c r="D79" s="51" t="s">
        <v>259</v>
      </c>
      <c r="E79" s="62">
        <v>147891.0</v>
      </c>
      <c r="F79" s="63">
        <v>110918.0</v>
      </c>
      <c r="G79" s="54"/>
      <c r="H79" s="55">
        <v>132789.0</v>
      </c>
      <c r="I79" s="56" t="str">
        <f t="shared" si="7"/>
        <v/>
      </c>
      <c r="J79" s="57">
        <f t="shared" si="8"/>
        <v>0.8978842526</v>
      </c>
      <c r="K79" s="54" t="s">
        <v>8</v>
      </c>
      <c r="L79" s="58" t="str">
        <f>IF(M79="Yes","🔴 BOTTOM",IF(M79="No","✓ Cleared",IF(Q79="MIN",IF(AND(ISNUMBER(F79),ISNUMBER(H79)),IF(H79&lt;F79*'Master Dashboard'!$B$4,"🔴 LOW",""),""),IF(Q79="MAX",IF(AND(ISNUMBER(F79),ISNUMBER(H79)),IF(H79&gt;F79,"🔴 HIGH",""),""),""))))</f>
        <v/>
      </c>
      <c r="M79" s="54" t="s">
        <v>82</v>
      </c>
      <c r="N79" s="59" t="s">
        <v>83</v>
      </c>
      <c r="O79" s="60" t="s">
        <v>84</v>
      </c>
      <c r="P79" s="61" t="s">
        <v>296</v>
      </c>
      <c r="Q79" s="60" t="s">
        <v>110</v>
      </c>
      <c r="R79" s="60" t="s">
        <v>297</v>
      </c>
    </row>
    <row r="80" ht="15.75" customHeight="1">
      <c r="A80" s="48"/>
      <c r="B80" s="49"/>
      <c r="C80" s="50" t="s">
        <v>298</v>
      </c>
      <c r="D80" s="51" t="s">
        <v>259</v>
      </c>
      <c r="E80" s="62">
        <v>182653.0</v>
      </c>
      <c r="F80" s="63">
        <v>136990.0</v>
      </c>
      <c r="G80" s="54"/>
      <c r="H80" s="55">
        <v>153782.0</v>
      </c>
      <c r="I80" s="56" t="str">
        <f t="shared" si="7"/>
        <v/>
      </c>
      <c r="J80" s="57">
        <f t="shared" si="8"/>
        <v>0.8419352543</v>
      </c>
      <c r="K80" s="54" t="s">
        <v>8</v>
      </c>
      <c r="L80" s="58" t="str">
        <f>IF(M80="Yes","🔴 BOTTOM",IF(M80="No","✓ Cleared",IF(Q80="MIN",IF(AND(ISNUMBER(F80),ISNUMBER(H80)),IF(H80&lt;F80*'Master Dashboard'!$B$4,"🔴 LOW",""),""),IF(Q80="MAX",IF(AND(ISNUMBER(F80),ISNUMBER(H80)),IF(H80&gt;F80,"🔴 HIGH",""),""),""))))</f>
        <v/>
      </c>
      <c r="M80" s="54" t="s">
        <v>82</v>
      </c>
      <c r="N80" s="59" t="s">
        <v>83</v>
      </c>
      <c r="O80" s="60" t="s">
        <v>84</v>
      </c>
      <c r="P80" s="61" t="s">
        <v>299</v>
      </c>
      <c r="Q80" s="60" t="s">
        <v>110</v>
      </c>
      <c r="R80" s="60" t="s">
        <v>300</v>
      </c>
    </row>
    <row r="81" ht="15.75" customHeight="1">
      <c r="A81" s="48"/>
      <c r="B81" s="49"/>
      <c r="C81" s="50" t="s">
        <v>301</v>
      </c>
      <c r="D81" s="51" t="s">
        <v>259</v>
      </c>
      <c r="E81" s="62">
        <v>2685915.0</v>
      </c>
      <c r="F81" s="63">
        <v>2014436.0</v>
      </c>
      <c r="G81" s="54"/>
      <c r="H81" s="55">
        <v>2021328.0</v>
      </c>
      <c r="I81" s="56" t="str">
        <f t="shared" si="7"/>
        <v/>
      </c>
      <c r="J81" s="57">
        <f t="shared" si="8"/>
        <v>0.7525658854</v>
      </c>
      <c r="K81" s="54" t="s">
        <v>9</v>
      </c>
      <c r="L81" s="58" t="str">
        <f>IF(M81="Yes","🔴 BOTTOM",IF(M81="No","✓ Cleared",IF(Q81="MIN",IF(AND(ISNUMBER(F81),ISNUMBER(H81)),IF(H81&lt;F81*'Master Dashboard'!$B$4,"🔴 LOW",""),""),IF(Q81="MAX",IF(AND(ISNUMBER(F81),ISNUMBER(H81)),IF(H81&gt;F81,"🔴 HIGH",""),""),""))))</f>
        <v/>
      </c>
      <c r="M81" s="54" t="s">
        <v>82</v>
      </c>
      <c r="N81" s="59" t="s">
        <v>83</v>
      </c>
      <c r="O81" s="60" t="s">
        <v>84</v>
      </c>
      <c r="P81" s="61" t="s">
        <v>302</v>
      </c>
      <c r="Q81" s="60" t="s">
        <v>110</v>
      </c>
      <c r="R81" s="60" t="s">
        <v>303</v>
      </c>
    </row>
    <row r="82" ht="15.75" customHeight="1">
      <c r="A82" s="65">
        <v>5.0</v>
      </c>
      <c r="B82" s="66" t="s">
        <v>304</v>
      </c>
      <c r="C82" s="37" t="s">
        <v>256</v>
      </c>
      <c r="D82" s="38"/>
      <c r="E82" s="39"/>
      <c r="F82" s="40"/>
      <c r="G82" s="41"/>
      <c r="H82" s="42">
        <v>2685915.0</v>
      </c>
      <c r="I82" s="43"/>
      <c r="J82" s="43"/>
      <c r="K82" s="43"/>
      <c r="L82" s="43"/>
      <c r="M82" s="43"/>
      <c r="N82" s="43"/>
      <c r="O82" s="43"/>
      <c r="P82" s="44" t="s">
        <v>257</v>
      </c>
      <c r="Q82" s="45"/>
      <c r="R82" s="45"/>
    </row>
    <row r="83" ht="15.75" customHeight="1">
      <c r="A83" s="48"/>
      <c r="B83" s="49"/>
      <c r="C83" s="50" t="s">
        <v>258</v>
      </c>
      <c r="D83" s="51" t="s">
        <v>259</v>
      </c>
      <c r="E83" s="62">
        <v>174276.0</v>
      </c>
      <c r="F83" s="63">
        <v>130707.0</v>
      </c>
      <c r="G83" s="54"/>
      <c r="H83" s="55">
        <v>134167.0</v>
      </c>
      <c r="I83" s="56" t="str">
        <f t="shared" ref="I83:I94" si="9">IF(AND(ISNUMBER(G83),ISNUMBER(H83)),H83-G83,"")</f>
        <v/>
      </c>
      <c r="J83" s="57">
        <f t="shared" ref="J83:J94" si="10">IF(AND(ISNUMBER(E83),E83&gt;0,ISNUMBER(H83)),H83/E83,"")</f>
        <v>0.7698535656</v>
      </c>
      <c r="K83" s="54" t="s">
        <v>8</v>
      </c>
      <c r="L83" s="58" t="str">
        <f>IF(M83="Yes","🔴 BOTTOM",IF(M83="No","✓ Cleared",IF(Q83="MIN",IF(AND(ISNUMBER(F83),ISNUMBER(H83)),IF(H83&lt;F83*'Master Dashboard'!$B$4,"🔴 LOW",""),""),IF(Q83="MAX",IF(AND(ISNUMBER(F83),ISNUMBER(H83)),IF(H83&gt;F83,"🔴 HIGH",""),""),""))))</f>
        <v/>
      </c>
      <c r="M83" s="54" t="s">
        <v>82</v>
      </c>
      <c r="N83" s="59" t="s">
        <v>83</v>
      </c>
      <c r="O83" s="60" t="s">
        <v>84</v>
      </c>
      <c r="P83" s="61" t="s">
        <v>260</v>
      </c>
      <c r="Q83" s="60" t="s">
        <v>110</v>
      </c>
      <c r="R83" s="60" t="s">
        <v>261</v>
      </c>
    </row>
    <row r="84" ht="15.75" customHeight="1">
      <c r="A84" s="48"/>
      <c r="B84" s="49"/>
      <c r="C84" s="50" t="s">
        <v>262</v>
      </c>
      <c r="D84" s="51" t="s">
        <v>259</v>
      </c>
      <c r="E84" s="62">
        <v>176828.0</v>
      </c>
      <c r="F84" s="63">
        <v>132621.0</v>
      </c>
      <c r="G84" s="54"/>
      <c r="H84" s="55">
        <v>154962.0</v>
      </c>
      <c r="I84" s="56" t="str">
        <f t="shared" si="9"/>
        <v/>
      </c>
      <c r="J84" s="57">
        <f t="shared" si="10"/>
        <v>0.8763431131</v>
      </c>
      <c r="K84" s="54" t="s">
        <v>8</v>
      </c>
      <c r="L84" s="58" t="str">
        <f>IF(M84="Yes","🔴 BOTTOM",IF(M84="No","✓ Cleared",IF(Q84="MIN",IF(AND(ISNUMBER(F84),ISNUMBER(H84)),IF(H84&lt;F84*'Master Dashboard'!$B$4,"🔴 LOW",""),""),IF(Q84="MAX",IF(AND(ISNUMBER(F84),ISNUMBER(H84)),IF(H84&gt;F84,"🔴 HIGH",""),""),""))))</f>
        <v/>
      </c>
      <c r="M84" s="54" t="s">
        <v>82</v>
      </c>
      <c r="N84" s="59" t="s">
        <v>83</v>
      </c>
      <c r="O84" s="60" t="s">
        <v>84</v>
      </c>
      <c r="P84" s="61" t="s">
        <v>263</v>
      </c>
      <c r="Q84" s="60" t="s">
        <v>110</v>
      </c>
      <c r="R84" s="60" t="s">
        <v>264</v>
      </c>
    </row>
    <row r="85" ht="15.75" customHeight="1">
      <c r="A85" s="48"/>
      <c r="B85" s="49"/>
      <c r="C85" s="50" t="s">
        <v>265</v>
      </c>
      <c r="D85" s="51" t="s">
        <v>259</v>
      </c>
      <c r="E85" s="62">
        <v>274011.0</v>
      </c>
      <c r="F85" s="63">
        <v>205508.0</v>
      </c>
      <c r="G85" s="54"/>
      <c r="H85" s="55">
        <v>193740.0</v>
      </c>
      <c r="I85" s="56" t="str">
        <f t="shared" si="9"/>
        <v/>
      </c>
      <c r="J85" s="57">
        <f t="shared" si="10"/>
        <v>0.7070519067</v>
      </c>
      <c r="K85" s="54" t="s">
        <v>9</v>
      </c>
      <c r="L85" s="58" t="str">
        <f>IF(M85="Yes","🔴 BOTTOM",IF(M85="No","✓ Cleared",IF(Q85="MIN",IF(AND(ISNUMBER(F85),ISNUMBER(H85)),IF(H85&lt;F85*'Master Dashboard'!$B$4,"🔴 LOW",""),""),IF(Q85="MAX",IF(AND(ISNUMBER(F85),ISNUMBER(H85)),IF(H85&gt;F85,"🔴 HIGH",""),""),""))))</f>
        <v>🔴 LOW</v>
      </c>
      <c r="M85" s="54" t="s">
        <v>82</v>
      </c>
      <c r="N85" s="59" t="s">
        <v>83</v>
      </c>
      <c r="O85" s="60" t="s">
        <v>84</v>
      </c>
      <c r="P85" s="61" t="s">
        <v>266</v>
      </c>
      <c r="Q85" s="60" t="s">
        <v>110</v>
      </c>
      <c r="R85" s="60" t="s">
        <v>267</v>
      </c>
    </row>
    <row r="86" ht="15.75" customHeight="1">
      <c r="A86" s="48"/>
      <c r="B86" s="49"/>
      <c r="C86" s="50" t="s">
        <v>268</v>
      </c>
      <c r="D86" s="51" t="s">
        <v>259</v>
      </c>
      <c r="E86" s="62">
        <v>228802.0</v>
      </c>
      <c r="F86" s="63">
        <v>171602.0</v>
      </c>
      <c r="G86" s="54"/>
      <c r="H86" s="55">
        <v>156290.0</v>
      </c>
      <c r="I86" s="56" t="str">
        <f t="shared" si="9"/>
        <v/>
      </c>
      <c r="J86" s="57">
        <f t="shared" si="10"/>
        <v>0.6830796934</v>
      </c>
      <c r="K86" s="54" t="s">
        <v>9</v>
      </c>
      <c r="L86" s="58" t="str">
        <f>IF(M86="Yes","🔴 BOTTOM",IF(M86="No","✓ Cleared",IF(Q86="MIN",IF(AND(ISNUMBER(F86),ISNUMBER(H86)),IF(H86&lt;F86*'Master Dashboard'!$B$4,"🔴 LOW",""),""),IF(Q86="MAX",IF(AND(ISNUMBER(F86),ISNUMBER(H86)),IF(H86&gt;F86,"🔴 HIGH",""),""),""))))</f>
        <v>🔴 LOW</v>
      </c>
      <c r="M86" s="54" t="s">
        <v>82</v>
      </c>
      <c r="N86" s="59" t="s">
        <v>83</v>
      </c>
      <c r="O86" s="60" t="s">
        <v>84</v>
      </c>
      <c r="P86" s="61" t="s">
        <v>269</v>
      </c>
      <c r="Q86" s="60" t="s">
        <v>110</v>
      </c>
      <c r="R86" s="60" t="s">
        <v>270</v>
      </c>
    </row>
    <row r="87" ht="15.75" customHeight="1">
      <c r="A87" s="48"/>
      <c r="B87" s="49"/>
      <c r="C87" s="50" t="s">
        <v>271</v>
      </c>
      <c r="D87" s="51" t="s">
        <v>259</v>
      </c>
      <c r="E87" s="62">
        <v>183343.0</v>
      </c>
      <c r="F87" s="63">
        <v>137507.0</v>
      </c>
      <c r="G87" s="54"/>
      <c r="H87" s="55">
        <v>109236.0</v>
      </c>
      <c r="I87" s="56" t="str">
        <f t="shared" si="9"/>
        <v/>
      </c>
      <c r="J87" s="57">
        <f t="shared" si="10"/>
        <v>0.5958013123</v>
      </c>
      <c r="K87" s="54" t="s">
        <v>9</v>
      </c>
      <c r="L87" s="58" t="str">
        <f>IF(M87="Yes","🔴 BOTTOM",IF(M87="No","✓ Cleared",IF(Q87="MIN",IF(AND(ISNUMBER(F87),ISNUMBER(H87)),IF(H87&lt;F87*'Master Dashboard'!$B$4,"🔴 LOW",""),""),IF(Q87="MAX",IF(AND(ISNUMBER(F87),ISNUMBER(H87)),IF(H87&gt;F87,"🔴 HIGH",""),""),""))))</f>
        <v>🔴 LOW</v>
      </c>
      <c r="M87" s="54" t="s">
        <v>82</v>
      </c>
      <c r="N87" s="59" t="s">
        <v>83</v>
      </c>
      <c r="O87" s="60" t="s">
        <v>84</v>
      </c>
      <c r="P87" s="61" t="s">
        <v>272</v>
      </c>
      <c r="Q87" s="60" t="s">
        <v>110</v>
      </c>
      <c r="R87" s="60" t="s">
        <v>273</v>
      </c>
    </row>
    <row r="88" ht="15.75" customHeight="1">
      <c r="A88" s="48"/>
      <c r="B88" s="49"/>
      <c r="C88" s="50" t="s">
        <v>274</v>
      </c>
      <c r="D88" s="51" t="s">
        <v>259</v>
      </c>
      <c r="E88" s="62">
        <v>160607.0</v>
      </c>
      <c r="F88" s="63">
        <v>120455.0</v>
      </c>
      <c r="G88" s="54"/>
      <c r="H88" s="55">
        <v>106731.0</v>
      </c>
      <c r="I88" s="56" t="str">
        <f t="shared" si="9"/>
        <v/>
      </c>
      <c r="J88" s="57">
        <f t="shared" si="10"/>
        <v>0.6645476225</v>
      </c>
      <c r="K88" s="54" t="s">
        <v>9</v>
      </c>
      <c r="L88" s="58" t="str">
        <f>IF(M88="Yes","🔴 BOTTOM",IF(M88="No","✓ Cleared",IF(Q88="MIN",IF(AND(ISNUMBER(F88),ISNUMBER(H88)),IF(H88&lt;F88*'Master Dashboard'!$B$4,"🔴 LOW",""),""),IF(Q88="MAX",IF(AND(ISNUMBER(F88),ISNUMBER(H88)),IF(H88&gt;F88,"🔴 HIGH",""),""),""))))</f>
        <v>🔴 LOW</v>
      </c>
      <c r="M88" s="54" t="s">
        <v>82</v>
      </c>
      <c r="N88" s="59" t="s">
        <v>83</v>
      </c>
      <c r="O88" s="60" t="s">
        <v>84</v>
      </c>
      <c r="P88" s="61" t="s">
        <v>275</v>
      </c>
      <c r="Q88" s="60" t="s">
        <v>110</v>
      </c>
      <c r="R88" s="60" t="s">
        <v>276</v>
      </c>
    </row>
    <row r="89" ht="15.75" customHeight="1">
      <c r="A89" s="48"/>
      <c r="B89" s="49"/>
      <c r="C89" s="50" t="s">
        <v>277</v>
      </c>
      <c r="D89" s="51" t="s">
        <v>259</v>
      </c>
      <c r="E89" s="62">
        <v>149728.0</v>
      </c>
      <c r="F89" s="63">
        <v>112296.0</v>
      </c>
      <c r="G89" s="54"/>
      <c r="H89" s="55">
        <v>103728.0</v>
      </c>
      <c r="I89" s="56" t="str">
        <f t="shared" si="9"/>
        <v/>
      </c>
      <c r="J89" s="57">
        <f t="shared" si="10"/>
        <v>0.6927762342</v>
      </c>
      <c r="K89" s="54" t="s">
        <v>9</v>
      </c>
      <c r="L89" s="58" t="str">
        <f>IF(M89="Yes","🔴 BOTTOM",IF(M89="No","✓ Cleared",IF(Q89="MIN",IF(AND(ISNUMBER(F89),ISNUMBER(H89)),IF(H89&lt;F89*'Master Dashboard'!$B$4,"🔴 LOW",""),""),IF(Q89="MAX",IF(AND(ISNUMBER(F89),ISNUMBER(H89)),IF(H89&gt;F89,"🔴 HIGH",""),""),""))))</f>
        <v>🔴 LOW</v>
      </c>
      <c r="M89" s="54" t="s">
        <v>82</v>
      </c>
      <c r="N89" s="59" t="s">
        <v>83</v>
      </c>
      <c r="O89" s="60" t="s">
        <v>84</v>
      </c>
      <c r="P89" s="61" t="s">
        <v>278</v>
      </c>
      <c r="Q89" s="60" t="s">
        <v>110</v>
      </c>
      <c r="R89" s="60" t="s">
        <v>279</v>
      </c>
    </row>
    <row r="90" ht="15.75" customHeight="1">
      <c r="A90" s="48"/>
      <c r="B90" s="49"/>
      <c r="C90" s="50" t="s">
        <v>280</v>
      </c>
      <c r="D90" s="51" t="s">
        <v>259</v>
      </c>
      <c r="E90" s="62">
        <v>169596.0</v>
      </c>
      <c r="F90" s="63">
        <v>127197.0</v>
      </c>
      <c r="G90" s="54"/>
      <c r="H90" s="55">
        <v>112402.0</v>
      </c>
      <c r="I90" s="56" t="str">
        <f t="shared" si="9"/>
        <v/>
      </c>
      <c r="J90" s="57">
        <f t="shared" si="10"/>
        <v>0.6627632727</v>
      </c>
      <c r="K90" s="54" t="s">
        <v>9</v>
      </c>
      <c r="L90" s="58" t="str">
        <f>IF(M90="Yes","🔴 BOTTOM",IF(M90="No","✓ Cleared",IF(Q90="MIN",IF(AND(ISNUMBER(F90),ISNUMBER(H90)),IF(H90&lt;F90*'Master Dashboard'!$B$4,"🔴 LOW",""),""),IF(Q90="MAX",IF(AND(ISNUMBER(F90),ISNUMBER(H90)),IF(H90&gt;F90,"🔴 HIGH",""),""),""))))</f>
        <v>🔴 LOW</v>
      </c>
      <c r="M90" s="54" t="s">
        <v>82</v>
      </c>
      <c r="N90" s="59" t="s">
        <v>83</v>
      </c>
      <c r="O90" s="60" t="s">
        <v>84</v>
      </c>
      <c r="P90" s="61" t="s">
        <v>281</v>
      </c>
      <c r="Q90" s="60" t="s">
        <v>110</v>
      </c>
      <c r="R90" s="60" t="s">
        <v>282</v>
      </c>
    </row>
    <row r="91" ht="15.75" customHeight="1">
      <c r="A91" s="48"/>
      <c r="B91" s="49"/>
      <c r="C91" s="50" t="s">
        <v>283</v>
      </c>
      <c r="D91" s="51" t="s">
        <v>259</v>
      </c>
      <c r="E91" s="62">
        <v>203121.0</v>
      </c>
      <c r="F91" s="63">
        <v>152341.0</v>
      </c>
      <c r="G91" s="54"/>
      <c r="H91" s="55">
        <v>142413.0</v>
      </c>
      <c r="I91" s="56" t="str">
        <f t="shared" si="9"/>
        <v/>
      </c>
      <c r="J91" s="57">
        <f t="shared" si="10"/>
        <v>0.7011239606</v>
      </c>
      <c r="K91" s="54" t="s">
        <v>9</v>
      </c>
      <c r="L91" s="58" t="str">
        <f>IF(M91="Yes","🔴 BOTTOM",IF(M91="No","✓ Cleared",IF(Q91="MIN",IF(AND(ISNUMBER(F91),ISNUMBER(H91)),IF(H91&lt;F91*'Master Dashboard'!$B$4,"🔴 LOW",""),""),IF(Q91="MAX",IF(AND(ISNUMBER(F91),ISNUMBER(H91)),IF(H91&gt;F91,"🔴 HIGH",""),""),""))))</f>
        <v>🔴 LOW</v>
      </c>
      <c r="M91" s="54" t="s">
        <v>82</v>
      </c>
      <c r="N91" s="59" t="s">
        <v>83</v>
      </c>
      <c r="O91" s="60" t="s">
        <v>84</v>
      </c>
      <c r="P91" s="61" t="s">
        <v>284</v>
      </c>
      <c r="Q91" s="60" t="s">
        <v>110</v>
      </c>
      <c r="R91" s="60" t="s">
        <v>285</v>
      </c>
    </row>
    <row r="92" ht="15.75" customHeight="1">
      <c r="A92" s="48"/>
      <c r="B92" s="49"/>
      <c r="C92" s="50" t="s">
        <v>286</v>
      </c>
      <c r="D92" s="51" t="s">
        <v>259</v>
      </c>
      <c r="E92" s="62">
        <v>284384.0</v>
      </c>
      <c r="F92" s="63">
        <v>213288.0</v>
      </c>
      <c r="G92" s="54"/>
      <c r="H92" s="55">
        <v>212563.0</v>
      </c>
      <c r="I92" s="56" t="str">
        <f t="shared" si="9"/>
        <v/>
      </c>
      <c r="J92" s="57">
        <f t="shared" si="10"/>
        <v>0.7474506301</v>
      </c>
      <c r="K92" s="54" t="s">
        <v>9</v>
      </c>
      <c r="L92" s="58" t="str">
        <f>IF(M92="Yes","🔴 BOTTOM",IF(M92="No","✓ Cleared",IF(Q92="MIN",IF(AND(ISNUMBER(F92),ISNUMBER(H92)),IF(H92&lt;F92*'Master Dashboard'!$B$4,"🔴 LOW",""),""),IF(Q92="MAX",IF(AND(ISNUMBER(F92),ISNUMBER(H92)),IF(H92&gt;F92,"🔴 HIGH",""),""),""))))</f>
        <v>🔴 LOW</v>
      </c>
      <c r="M92" s="54" t="s">
        <v>82</v>
      </c>
      <c r="N92" s="59" t="s">
        <v>83</v>
      </c>
      <c r="O92" s="60" t="s">
        <v>84</v>
      </c>
      <c r="P92" s="61" t="s">
        <v>287</v>
      </c>
      <c r="Q92" s="60" t="s">
        <v>110</v>
      </c>
      <c r="R92" s="60" t="s">
        <v>288</v>
      </c>
    </row>
    <row r="93" ht="15.75" customHeight="1">
      <c r="A93" s="48"/>
      <c r="B93" s="49"/>
      <c r="C93" s="50" t="s">
        <v>289</v>
      </c>
      <c r="D93" s="51" t="s">
        <v>259</v>
      </c>
      <c r="E93" s="62">
        <v>166556.0</v>
      </c>
      <c r="F93" s="63">
        <v>124917.0</v>
      </c>
      <c r="G93" s="54"/>
      <c r="H93" s="55">
        <v>147687.0</v>
      </c>
      <c r="I93" s="56" t="str">
        <f t="shared" si="9"/>
        <v/>
      </c>
      <c r="J93" s="57">
        <f t="shared" si="10"/>
        <v>0.886710776</v>
      </c>
      <c r="K93" s="54" t="s">
        <v>8</v>
      </c>
      <c r="L93" s="58" t="str">
        <f>IF(M93="Yes","🔴 BOTTOM",IF(M93="No","✓ Cleared",IF(Q93="MIN",IF(AND(ISNUMBER(F93),ISNUMBER(H93)),IF(H93&lt;F93*'Master Dashboard'!$B$4,"🔴 LOW",""),""),IF(Q93="MAX",IF(AND(ISNUMBER(F93),ISNUMBER(H93)),IF(H93&gt;F93,"🔴 HIGH",""),""),""))))</f>
        <v/>
      </c>
      <c r="M93" s="54" t="s">
        <v>82</v>
      </c>
      <c r="N93" s="59" t="s">
        <v>83</v>
      </c>
      <c r="O93" s="60" t="s">
        <v>84</v>
      </c>
      <c r="P93" s="61" t="s">
        <v>290</v>
      </c>
      <c r="Q93" s="60" t="s">
        <v>110</v>
      </c>
      <c r="R93" s="60" t="s">
        <v>291</v>
      </c>
    </row>
    <row r="94" ht="15.75" customHeight="1">
      <c r="A94" s="48"/>
      <c r="B94" s="49"/>
      <c r="C94" s="50" t="s">
        <v>292</v>
      </c>
      <c r="D94" s="51" t="s">
        <v>259</v>
      </c>
      <c r="E94" s="62">
        <v>184119.0</v>
      </c>
      <c r="F94" s="63">
        <v>138089.0</v>
      </c>
      <c r="G94" s="54"/>
      <c r="H94" s="55">
        <v>160838.0</v>
      </c>
      <c r="I94" s="56" t="str">
        <f t="shared" si="9"/>
        <v/>
      </c>
      <c r="J94" s="57">
        <f t="shared" si="10"/>
        <v>0.8735546033</v>
      </c>
      <c r="K94" s="54" t="s">
        <v>8</v>
      </c>
      <c r="L94" s="58" t="str">
        <f>IF(M94="Yes","🔴 BOTTOM",IF(M94="No","✓ Cleared",IF(Q94="MIN",IF(AND(ISNUMBER(F94),ISNUMBER(H94)),IF(H94&lt;F94*'Master Dashboard'!$B$4,"🔴 LOW",""),""),IF(Q94="MAX",IF(AND(ISNUMBER(F94),ISNUMBER(H94)),IF(H94&gt;F94,"🔴 HIGH",""),""),""))))</f>
        <v/>
      </c>
      <c r="M94" s="54" t="s">
        <v>82</v>
      </c>
      <c r="N94" s="59" t="s">
        <v>83</v>
      </c>
      <c r="O94" s="60" t="s">
        <v>84</v>
      </c>
      <c r="P94" s="61" t="s">
        <v>293</v>
      </c>
      <c r="Q94" s="60" t="s">
        <v>110</v>
      </c>
      <c r="R94" s="60" t="s">
        <v>294</v>
      </c>
    </row>
    <row r="95" ht="15.75" customHeight="1">
      <c r="A95" s="35">
        <v>6.0</v>
      </c>
      <c r="B95" s="36" t="s">
        <v>305</v>
      </c>
      <c r="C95" s="37" t="s">
        <v>306</v>
      </c>
      <c r="D95" s="38"/>
      <c r="E95" s="39"/>
      <c r="F95" s="40"/>
      <c r="G95" s="41"/>
      <c r="H95" s="42">
        <v>93.0</v>
      </c>
      <c r="I95" s="43"/>
      <c r="J95" s="43"/>
      <c r="K95" s="43"/>
      <c r="L95" s="43"/>
      <c r="M95" s="43"/>
      <c r="N95" s="43"/>
      <c r="O95" s="43"/>
      <c r="P95" s="44" t="s">
        <v>307</v>
      </c>
      <c r="Q95" s="45"/>
      <c r="R95" s="45"/>
    </row>
    <row r="96" ht="15.75" customHeight="1">
      <c r="A96" s="48"/>
      <c r="B96" s="49"/>
      <c r="C96" s="50" t="s">
        <v>308</v>
      </c>
      <c r="D96" s="51" t="s">
        <v>309</v>
      </c>
      <c r="E96" s="52"/>
      <c r="F96" s="53"/>
      <c r="G96" s="54"/>
      <c r="H96" s="55">
        <v>93.0</v>
      </c>
      <c r="I96" s="56" t="str">
        <f t="shared" ref="I96:I99" si="11">IF(AND(ISNUMBER(G96),ISNUMBER(H96)),H96-G96,"")</f>
        <v/>
      </c>
      <c r="J96" s="57" t="str">
        <f t="shared" ref="J96:J99" si="12">IF(AND(ISNUMBER(E96),E96&gt;0,ISNUMBER(H96)),H96/E96,"")</f>
        <v/>
      </c>
      <c r="K96" s="54" t="s">
        <v>9</v>
      </c>
      <c r="L96" s="58" t="str">
        <f>IF(M96="Yes","🔴 BOTTOM",IF(M96="No","✓ Cleared",IF(Q96="MIN",IF(AND(ISNUMBER(F96),ISNUMBER(H96)),IF(H96&lt;F96*'Master Dashboard'!$B$4,"🔴 LOW",""),""),IF(Q96="MAX",IF(AND(ISNUMBER(F96),ISNUMBER(H96)),IF(H96&gt;F96,"🔴 HIGH",""),""),""))))</f>
        <v/>
      </c>
      <c r="M96" s="54" t="s">
        <v>82</v>
      </c>
      <c r="N96" s="59" t="s">
        <v>83</v>
      </c>
      <c r="O96" s="60" t="s">
        <v>84</v>
      </c>
      <c r="P96" s="61" t="s">
        <v>310</v>
      </c>
      <c r="Q96" s="60"/>
      <c r="R96" s="60" t="s">
        <v>311</v>
      </c>
    </row>
    <row r="97" ht="15.75" customHeight="1">
      <c r="A97" s="48"/>
      <c r="B97" s="49"/>
      <c r="C97" s="50" t="s">
        <v>312</v>
      </c>
      <c r="D97" s="51" t="s">
        <v>313</v>
      </c>
      <c r="E97" s="62">
        <v>0.0</v>
      </c>
      <c r="F97" s="63">
        <v>0.0</v>
      </c>
      <c r="G97" s="54"/>
      <c r="H97" s="55">
        <v>67.0</v>
      </c>
      <c r="I97" s="56" t="str">
        <f t="shared" si="11"/>
        <v/>
      </c>
      <c r="J97" s="57" t="str">
        <f t="shared" si="12"/>
        <v/>
      </c>
      <c r="K97" s="54" t="s">
        <v>10</v>
      </c>
      <c r="L97" s="58" t="str">
        <f>IF(M97="Yes","🔴 BOTTOM",IF(M97="No","✓ Cleared",IF(Q97="MIN",IF(AND(ISNUMBER(F97),ISNUMBER(H97)),IF(H97&lt;F97*'Master Dashboard'!$B$4,"🔴 LOW",""),""),IF(Q97="MAX",IF(AND(ISNUMBER(F97),ISNUMBER(H97)),IF(H97&gt;F97,"🔴 HIGH",""),""),""))))</f>
        <v>🔴 HIGH</v>
      </c>
      <c r="M97" s="54" t="s">
        <v>82</v>
      </c>
      <c r="N97" s="59" t="s">
        <v>83</v>
      </c>
      <c r="O97" s="60" t="s">
        <v>84</v>
      </c>
      <c r="P97" s="61" t="s">
        <v>314</v>
      </c>
      <c r="Q97" s="60" t="s">
        <v>114</v>
      </c>
      <c r="R97" s="60" t="s">
        <v>315</v>
      </c>
    </row>
    <row r="98" ht="15.75" customHeight="1">
      <c r="A98" s="48"/>
      <c r="B98" s="49"/>
      <c r="C98" s="50" t="s">
        <v>316</v>
      </c>
      <c r="D98" s="51" t="s">
        <v>317</v>
      </c>
      <c r="E98" s="52"/>
      <c r="F98" s="53"/>
      <c r="G98" s="54"/>
      <c r="H98" s="55">
        <v>1.0</v>
      </c>
      <c r="I98" s="56" t="str">
        <f t="shared" si="11"/>
        <v/>
      </c>
      <c r="J98" s="57" t="str">
        <f t="shared" si="12"/>
        <v/>
      </c>
      <c r="K98" s="54" t="s">
        <v>9</v>
      </c>
      <c r="L98" s="58" t="str">
        <f>IF(M98="Yes","🔴 BOTTOM",IF(M98="No","✓ Cleared",IF(Q98="MIN",IF(AND(ISNUMBER(F98),ISNUMBER(H98)),IF(H98&lt;F98*'Master Dashboard'!$B$4,"🔴 LOW",""),""),IF(Q98="MAX",IF(AND(ISNUMBER(F98),ISNUMBER(H98)),IF(H98&gt;F98,"🔴 HIGH",""),""),""))))</f>
        <v/>
      </c>
      <c r="M98" s="54" t="s">
        <v>82</v>
      </c>
      <c r="N98" s="59" t="s">
        <v>83</v>
      </c>
      <c r="O98" s="60" t="s">
        <v>84</v>
      </c>
      <c r="P98" s="61"/>
      <c r="Q98" s="60"/>
      <c r="R98" s="60" t="s">
        <v>318</v>
      </c>
    </row>
    <row r="99" ht="15.75" customHeight="1">
      <c r="A99" s="48"/>
      <c r="B99" s="49"/>
      <c r="C99" s="50" t="s">
        <v>319</v>
      </c>
      <c r="D99" s="51" t="s">
        <v>320</v>
      </c>
      <c r="E99" s="62">
        <v>0.0</v>
      </c>
      <c r="F99" s="63">
        <v>0.0</v>
      </c>
      <c r="G99" s="54"/>
      <c r="H99" s="55">
        <v>108.0</v>
      </c>
      <c r="I99" s="56" t="str">
        <f t="shared" si="11"/>
        <v/>
      </c>
      <c r="J99" s="57" t="str">
        <f t="shared" si="12"/>
        <v/>
      </c>
      <c r="K99" s="54" t="s">
        <v>10</v>
      </c>
      <c r="L99" s="58" t="str">
        <f>IF(M99="Yes","🔴 BOTTOM",IF(M99="No","✓ Cleared",IF(Q99="MIN",IF(AND(ISNUMBER(F99),ISNUMBER(H99)),IF(H99&lt;F99*'Master Dashboard'!$B$4,"🔴 LOW",""),""),IF(Q99="MAX",IF(AND(ISNUMBER(F99),ISNUMBER(H99)),IF(H99&gt;F99,"🔴 HIGH",""),""),""))))</f>
        <v>🔴 HIGH</v>
      </c>
      <c r="M99" s="54" t="s">
        <v>82</v>
      </c>
      <c r="N99" s="59" t="s">
        <v>83</v>
      </c>
      <c r="O99" s="60" t="s">
        <v>84</v>
      </c>
      <c r="P99" s="61"/>
      <c r="Q99" s="60" t="s">
        <v>114</v>
      </c>
      <c r="R99" s="60" t="s">
        <v>321</v>
      </c>
    </row>
    <row r="100" ht="15.75" customHeight="1">
      <c r="A100" s="35">
        <v>7.0</v>
      </c>
      <c r="B100" s="36" t="s">
        <v>322</v>
      </c>
      <c r="C100" s="37" t="s">
        <v>323</v>
      </c>
      <c r="D100" s="38"/>
      <c r="E100" s="39"/>
      <c r="F100" s="40"/>
      <c r="G100" s="41"/>
      <c r="H100" s="42">
        <v>653.0</v>
      </c>
      <c r="I100" s="43"/>
      <c r="J100" s="43"/>
      <c r="K100" s="43"/>
      <c r="L100" s="43"/>
      <c r="M100" s="43"/>
      <c r="N100" s="43"/>
      <c r="O100" s="43"/>
      <c r="P100" s="44" t="s">
        <v>324</v>
      </c>
      <c r="Q100" s="45"/>
      <c r="R100" s="45"/>
    </row>
    <row r="101" ht="15.75" customHeight="1">
      <c r="A101" s="48"/>
      <c r="B101" s="49"/>
      <c r="C101" s="50" t="s">
        <v>325</v>
      </c>
      <c r="D101" s="51" t="s">
        <v>309</v>
      </c>
      <c r="E101" s="52"/>
      <c r="F101" s="63">
        <v>200.0</v>
      </c>
      <c r="G101" s="56">
        <v>688.0</v>
      </c>
      <c r="H101" s="55">
        <v>653.0</v>
      </c>
      <c r="I101" s="56">
        <f t="shared" ref="I101:I114" si="13">IF(AND(ISNUMBER(G101),ISNUMBER(H101)),H101-G101,"")</f>
        <v>-35</v>
      </c>
      <c r="J101" s="57" t="str">
        <f t="shared" ref="J101:J114" si="14">IF(AND(ISNUMBER(E101),E101&gt;0,ISNUMBER(H101)),H101/E101,"")</f>
        <v/>
      </c>
      <c r="K101" s="54" t="s">
        <v>10</v>
      </c>
      <c r="L101" s="58" t="str">
        <f>IF(M101="Yes","🔴 BOTTOM",IF(M101="No","✓ Cleared",IF(Q101="MIN",IF(AND(ISNUMBER(F101),ISNUMBER(H101)),IF(H101&lt;F101*'Master Dashboard'!$B$4,"🔴 LOW",""),""),IF(Q101="MAX",IF(AND(ISNUMBER(F101),ISNUMBER(H101)),IF(H101&gt;F101,"🔴 HIGH",""),""),""))))</f>
        <v>🔴 HIGH</v>
      </c>
      <c r="M101" s="54" t="s">
        <v>82</v>
      </c>
      <c r="N101" s="59" t="s">
        <v>83</v>
      </c>
      <c r="O101" s="60" t="s">
        <v>84</v>
      </c>
      <c r="P101" s="61" t="s">
        <v>326</v>
      </c>
      <c r="Q101" s="60" t="s">
        <v>114</v>
      </c>
      <c r="R101" s="60" t="s">
        <v>327</v>
      </c>
    </row>
    <row r="102" ht="15.75" customHeight="1">
      <c r="A102" s="48"/>
      <c r="B102" s="49"/>
      <c r="C102" s="50" t="s">
        <v>328</v>
      </c>
      <c r="D102" s="51" t="s">
        <v>309</v>
      </c>
      <c r="E102" s="52"/>
      <c r="F102" s="63">
        <v>200.0</v>
      </c>
      <c r="G102" s="56">
        <v>207.0</v>
      </c>
      <c r="H102" s="55">
        <v>220.0</v>
      </c>
      <c r="I102" s="56">
        <f t="shared" si="13"/>
        <v>13</v>
      </c>
      <c r="J102" s="57" t="str">
        <f t="shared" si="14"/>
        <v/>
      </c>
      <c r="K102" s="54" t="s">
        <v>10</v>
      </c>
      <c r="L102" s="58" t="str">
        <f>IF(M102="Yes","🔴 BOTTOM",IF(M102="No","✓ Cleared",IF(Q102="MIN",IF(AND(ISNUMBER(F102),ISNUMBER(H102)),IF(H102&lt;F102*'Master Dashboard'!$B$4,"🔴 LOW",""),""),IF(Q102="MAX",IF(AND(ISNUMBER(F102),ISNUMBER(H102)),IF(H102&gt;F102,"🔴 HIGH",""),""),""))))</f>
        <v>🔴 HIGH</v>
      </c>
      <c r="M102" s="54" t="s">
        <v>82</v>
      </c>
      <c r="N102" s="59" t="s">
        <v>83</v>
      </c>
      <c r="O102" s="60" t="s">
        <v>84</v>
      </c>
      <c r="P102" s="61" t="s">
        <v>326</v>
      </c>
      <c r="Q102" s="60" t="s">
        <v>114</v>
      </c>
      <c r="R102" s="60" t="s">
        <v>329</v>
      </c>
    </row>
    <row r="103" ht="15.75" customHeight="1">
      <c r="A103" s="48"/>
      <c r="B103" s="49"/>
      <c r="C103" s="50" t="s">
        <v>330</v>
      </c>
      <c r="D103" s="51" t="s">
        <v>309</v>
      </c>
      <c r="E103" s="52"/>
      <c r="F103" s="63">
        <v>200.0</v>
      </c>
      <c r="G103" s="56">
        <v>175.0</v>
      </c>
      <c r="H103" s="55">
        <v>201.0</v>
      </c>
      <c r="I103" s="56">
        <f t="shared" si="13"/>
        <v>26</v>
      </c>
      <c r="J103" s="57" t="str">
        <f t="shared" si="14"/>
        <v/>
      </c>
      <c r="K103" s="54" t="s">
        <v>10</v>
      </c>
      <c r="L103" s="58" t="str">
        <f>IF(M103="Yes","🔴 BOTTOM",IF(M103="No","✓ Cleared",IF(Q103="MIN",IF(AND(ISNUMBER(F103),ISNUMBER(H103)),IF(H103&lt;F103*'Master Dashboard'!$B$4,"🔴 LOW",""),""),IF(Q103="MAX",IF(AND(ISNUMBER(F103),ISNUMBER(H103)),IF(H103&gt;F103,"🔴 HIGH",""),""),""))))</f>
        <v>🔴 HIGH</v>
      </c>
      <c r="M103" s="54" t="s">
        <v>82</v>
      </c>
      <c r="N103" s="59" t="s">
        <v>83</v>
      </c>
      <c r="O103" s="60" t="s">
        <v>84</v>
      </c>
      <c r="P103" s="61" t="s">
        <v>326</v>
      </c>
      <c r="Q103" s="60" t="s">
        <v>114</v>
      </c>
      <c r="R103" s="60" t="s">
        <v>331</v>
      </c>
    </row>
    <row r="104" ht="15.75" customHeight="1">
      <c r="A104" s="48"/>
      <c r="B104" s="49"/>
      <c r="C104" s="50" t="s">
        <v>332</v>
      </c>
      <c r="D104" s="51" t="s">
        <v>309</v>
      </c>
      <c r="E104" s="52"/>
      <c r="F104" s="63">
        <v>200.0</v>
      </c>
      <c r="G104" s="56">
        <v>180.0</v>
      </c>
      <c r="H104" s="55">
        <v>180.0</v>
      </c>
      <c r="I104" s="56">
        <f t="shared" si="13"/>
        <v>0</v>
      </c>
      <c r="J104" s="57" t="str">
        <f t="shared" si="14"/>
        <v/>
      </c>
      <c r="K104" s="54" t="s">
        <v>9</v>
      </c>
      <c r="L104" s="58" t="str">
        <f>IF(M104="Yes","🔴 BOTTOM",IF(M104="No","✓ Cleared",IF(Q104="MIN",IF(AND(ISNUMBER(F104),ISNUMBER(H104)),IF(H104&lt;F104*'Master Dashboard'!$B$4,"🔴 LOW",""),""),IF(Q104="MAX",IF(AND(ISNUMBER(F104),ISNUMBER(H104)),IF(H104&gt;F104,"🔴 HIGH",""),""),""))))</f>
        <v/>
      </c>
      <c r="M104" s="54" t="s">
        <v>82</v>
      </c>
      <c r="N104" s="59" t="s">
        <v>83</v>
      </c>
      <c r="O104" s="60" t="s">
        <v>84</v>
      </c>
      <c r="P104" s="61" t="s">
        <v>326</v>
      </c>
      <c r="Q104" s="60" t="s">
        <v>114</v>
      </c>
      <c r="R104" s="60" t="s">
        <v>333</v>
      </c>
    </row>
    <row r="105" ht="15.75" customHeight="1">
      <c r="A105" s="48"/>
      <c r="B105" s="49"/>
      <c r="C105" s="50" t="s">
        <v>334</v>
      </c>
      <c r="D105" s="51" t="s">
        <v>309</v>
      </c>
      <c r="E105" s="52"/>
      <c r="F105" s="63">
        <v>200.0</v>
      </c>
      <c r="G105" s="56">
        <v>48.0</v>
      </c>
      <c r="H105" s="55">
        <v>166.0</v>
      </c>
      <c r="I105" s="56">
        <f t="shared" si="13"/>
        <v>118</v>
      </c>
      <c r="J105" s="57" t="str">
        <f t="shared" si="14"/>
        <v/>
      </c>
      <c r="K105" s="54" t="s">
        <v>9</v>
      </c>
      <c r="L105" s="58" t="str">
        <f>IF(M105="Yes","🔴 BOTTOM",IF(M105="No","✓ Cleared",IF(Q105="MIN",IF(AND(ISNUMBER(F105),ISNUMBER(H105)),IF(H105&lt;F105*'Master Dashboard'!$B$4,"🔴 LOW",""),""),IF(Q105="MAX",IF(AND(ISNUMBER(F105),ISNUMBER(H105)),IF(H105&gt;F105,"🔴 HIGH",""),""),""))))</f>
        <v/>
      </c>
      <c r="M105" s="54" t="s">
        <v>82</v>
      </c>
      <c r="N105" s="59" t="s">
        <v>83</v>
      </c>
      <c r="O105" s="60" t="s">
        <v>84</v>
      </c>
      <c r="P105" s="61" t="s">
        <v>335</v>
      </c>
      <c r="Q105" s="60" t="s">
        <v>114</v>
      </c>
      <c r="R105" s="60" t="s">
        <v>336</v>
      </c>
    </row>
    <row r="106" ht="15.75" customHeight="1">
      <c r="A106" s="48"/>
      <c r="B106" s="49"/>
      <c r="C106" s="50" t="s">
        <v>337</v>
      </c>
      <c r="D106" s="51" t="s">
        <v>309</v>
      </c>
      <c r="E106" s="52"/>
      <c r="F106" s="63">
        <v>200.0</v>
      </c>
      <c r="G106" s="56">
        <v>123.0</v>
      </c>
      <c r="H106" s="55">
        <v>119.0</v>
      </c>
      <c r="I106" s="56">
        <f t="shared" si="13"/>
        <v>-4</v>
      </c>
      <c r="J106" s="57" t="str">
        <f t="shared" si="14"/>
        <v/>
      </c>
      <c r="K106" s="54" t="s">
        <v>9</v>
      </c>
      <c r="L106" s="58" t="str">
        <f>IF(M106="Yes","🔴 BOTTOM",IF(M106="No","✓ Cleared",IF(Q106="MIN",IF(AND(ISNUMBER(F106),ISNUMBER(H106)),IF(H106&lt;F106*'Master Dashboard'!$B$4,"🔴 LOW",""),""),IF(Q106="MAX",IF(AND(ISNUMBER(F106),ISNUMBER(H106)),IF(H106&gt;F106,"🔴 HIGH",""),""),""))))</f>
        <v/>
      </c>
      <c r="M106" s="54" t="s">
        <v>82</v>
      </c>
      <c r="N106" s="59" t="s">
        <v>83</v>
      </c>
      <c r="O106" s="60" t="s">
        <v>84</v>
      </c>
      <c r="P106" s="61" t="s">
        <v>326</v>
      </c>
      <c r="Q106" s="60" t="s">
        <v>114</v>
      </c>
      <c r="R106" s="60" t="s">
        <v>338</v>
      </c>
    </row>
    <row r="107" ht="15.75" customHeight="1">
      <c r="A107" s="48"/>
      <c r="B107" s="49"/>
      <c r="C107" s="50" t="s">
        <v>339</v>
      </c>
      <c r="D107" s="51" t="s">
        <v>309</v>
      </c>
      <c r="E107" s="52"/>
      <c r="F107" s="63">
        <v>200.0</v>
      </c>
      <c r="G107" s="56">
        <v>61.0</v>
      </c>
      <c r="H107" s="55">
        <v>82.0</v>
      </c>
      <c r="I107" s="56">
        <f t="shared" si="13"/>
        <v>21</v>
      </c>
      <c r="J107" s="57" t="str">
        <f t="shared" si="14"/>
        <v/>
      </c>
      <c r="K107" s="54" t="s">
        <v>9</v>
      </c>
      <c r="L107" s="58" t="str">
        <f>IF(M107="Yes","🔴 BOTTOM",IF(M107="No","✓ Cleared",IF(Q107="MIN",IF(AND(ISNUMBER(F107),ISNUMBER(H107)),IF(H107&lt;F107*'Master Dashboard'!$B$4,"🔴 LOW",""),""),IF(Q107="MAX",IF(AND(ISNUMBER(F107),ISNUMBER(H107)),IF(H107&gt;F107,"🔴 HIGH",""),""),""))))</f>
        <v/>
      </c>
      <c r="M107" s="54" t="s">
        <v>82</v>
      </c>
      <c r="N107" s="59" t="s">
        <v>83</v>
      </c>
      <c r="O107" s="60" t="s">
        <v>84</v>
      </c>
      <c r="P107" s="61" t="s">
        <v>326</v>
      </c>
      <c r="Q107" s="60" t="s">
        <v>114</v>
      </c>
      <c r="R107" s="60" t="s">
        <v>340</v>
      </c>
    </row>
    <row r="108" ht="15.75" customHeight="1">
      <c r="A108" s="48"/>
      <c r="B108" s="49"/>
      <c r="C108" s="50" t="s">
        <v>341</v>
      </c>
      <c r="D108" s="51" t="s">
        <v>309</v>
      </c>
      <c r="E108" s="52"/>
      <c r="F108" s="63">
        <v>200.0</v>
      </c>
      <c r="G108" s="56">
        <v>79.0</v>
      </c>
      <c r="H108" s="55">
        <v>69.0</v>
      </c>
      <c r="I108" s="56">
        <f t="shared" si="13"/>
        <v>-10</v>
      </c>
      <c r="J108" s="57" t="str">
        <f t="shared" si="14"/>
        <v/>
      </c>
      <c r="K108" s="54" t="s">
        <v>9</v>
      </c>
      <c r="L108" s="58" t="str">
        <f>IF(M108="Yes","🔴 BOTTOM",IF(M108="No","✓ Cleared",IF(Q108="MIN",IF(AND(ISNUMBER(F108),ISNUMBER(H108)),IF(H108&lt;F108*'Master Dashboard'!$B$4,"🔴 LOW",""),""),IF(Q108="MAX",IF(AND(ISNUMBER(F108),ISNUMBER(H108)),IF(H108&gt;F108,"🔴 HIGH",""),""),""))))</f>
        <v/>
      </c>
      <c r="M108" s="54" t="s">
        <v>82</v>
      </c>
      <c r="N108" s="59" t="s">
        <v>83</v>
      </c>
      <c r="O108" s="60" t="s">
        <v>84</v>
      </c>
      <c r="P108" s="61" t="s">
        <v>326</v>
      </c>
      <c r="Q108" s="60" t="s">
        <v>114</v>
      </c>
      <c r="R108" s="60" t="s">
        <v>342</v>
      </c>
    </row>
    <row r="109" ht="15.75" customHeight="1">
      <c r="A109" s="48"/>
      <c r="B109" s="49"/>
      <c r="C109" s="50" t="s">
        <v>343</v>
      </c>
      <c r="D109" s="51" t="s">
        <v>309</v>
      </c>
      <c r="E109" s="52"/>
      <c r="F109" s="63">
        <v>200.0</v>
      </c>
      <c r="G109" s="56">
        <v>135.0</v>
      </c>
      <c r="H109" s="55">
        <v>67.0</v>
      </c>
      <c r="I109" s="56">
        <f t="shared" si="13"/>
        <v>-68</v>
      </c>
      <c r="J109" s="57" t="str">
        <f t="shared" si="14"/>
        <v/>
      </c>
      <c r="K109" s="54" t="s">
        <v>9</v>
      </c>
      <c r="L109" s="58" t="str">
        <f>IF(M109="Yes","🔴 BOTTOM",IF(M109="No","✓ Cleared",IF(Q109="MIN",IF(AND(ISNUMBER(F109),ISNUMBER(H109)),IF(H109&lt;F109*'Master Dashboard'!$B$4,"🔴 LOW",""),""),IF(Q109="MAX",IF(AND(ISNUMBER(F109),ISNUMBER(H109)),IF(H109&gt;F109,"🔴 HIGH",""),""),""))))</f>
        <v/>
      </c>
      <c r="M109" s="54" t="s">
        <v>82</v>
      </c>
      <c r="N109" s="59" t="s">
        <v>83</v>
      </c>
      <c r="O109" s="60" t="s">
        <v>84</v>
      </c>
      <c r="P109" s="61" t="s">
        <v>326</v>
      </c>
      <c r="Q109" s="60" t="s">
        <v>114</v>
      </c>
      <c r="R109" s="60" t="s">
        <v>344</v>
      </c>
    </row>
    <row r="110" ht="15.75" customHeight="1">
      <c r="A110" s="48"/>
      <c r="B110" s="49"/>
      <c r="C110" s="50" t="s">
        <v>345</v>
      </c>
      <c r="D110" s="51" t="s">
        <v>309</v>
      </c>
      <c r="E110" s="52"/>
      <c r="F110" s="63">
        <v>200.0</v>
      </c>
      <c r="G110" s="56">
        <v>44.0</v>
      </c>
      <c r="H110" s="55">
        <v>57.0</v>
      </c>
      <c r="I110" s="56">
        <f t="shared" si="13"/>
        <v>13</v>
      </c>
      <c r="J110" s="57" t="str">
        <f t="shared" si="14"/>
        <v/>
      </c>
      <c r="K110" s="54" t="s">
        <v>9</v>
      </c>
      <c r="L110" s="58" t="str">
        <f>IF(M110="Yes","🔴 BOTTOM",IF(M110="No","✓ Cleared",IF(Q110="MIN",IF(AND(ISNUMBER(F110),ISNUMBER(H110)),IF(H110&lt;F110*'Master Dashboard'!$B$4,"🔴 LOW",""),""),IF(Q110="MAX",IF(AND(ISNUMBER(F110),ISNUMBER(H110)),IF(H110&gt;F110,"🔴 HIGH",""),""),""))))</f>
        <v/>
      </c>
      <c r="M110" s="54" t="s">
        <v>82</v>
      </c>
      <c r="N110" s="59" t="s">
        <v>83</v>
      </c>
      <c r="O110" s="60" t="s">
        <v>84</v>
      </c>
      <c r="P110" s="61" t="s">
        <v>326</v>
      </c>
      <c r="Q110" s="60" t="s">
        <v>114</v>
      </c>
      <c r="R110" s="60" t="s">
        <v>346</v>
      </c>
    </row>
    <row r="111" ht="15.75" customHeight="1">
      <c r="A111" s="35">
        <v>8.0</v>
      </c>
      <c r="B111" s="36" t="s">
        <v>347</v>
      </c>
      <c r="C111" s="50" t="s">
        <v>348</v>
      </c>
      <c r="D111" s="51" t="s">
        <v>309</v>
      </c>
      <c r="E111" s="62">
        <v>0.0</v>
      </c>
      <c r="F111" s="63">
        <v>5.0</v>
      </c>
      <c r="G111" s="54"/>
      <c r="H111" s="55">
        <v>11.0</v>
      </c>
      <c r="I111" s="56" t="str">
        <f t="shared" si="13"/>
        <v/>
      </c>
      <c r="J111" s="57" t="str">
        <f t="shared" si="14"/>
        <v/>
      </c>
      <c r="K111" s="54" t="s">
        <v>9</v>
      </c>
      <c r="L111" s="58" t="str">
        <f>IF(M111="Yes","🔴 BOTTOM",IF(M111="No","✓ Cleared",IF(Q111="MIN",IF(AND(ISNUMBER(F111),ISNUMBER(H111)),IF(H111&lt;F111*'Master Dashboard'!$B$4,"🔴 LOW",""),""),IF(Q111="MAX",IF(AND(ISNUMBER(F111),ISNUMBER(H111)),IF(H111&gt;F111,"🔴 HIGH",""),""),""))))</f>
        <v>🔴 HIGH</v>
      </c>
      <c r="M111" s="54" t="s">
        <v>82</v>
      </c>
      <c r="N111" s="59" t="s">
        <v>83</v>
      </c>
      <c r="O111" s="60" t="s">
        <v>84</v>
      </c>
      <c r="P111" s="61" t="s">
        <v>349</v>
      </c>
      <c r="Q111" s="60" t="s">
        <v>114</v>
      </c>
      <c r="R111" s="60" t="s">
        <v>350</v>
      </c>
    </row>
    <row r="112" ht="15.75" customHeight="1">
      <c r="A112" s="48"/>
      <c r="B112" s="49"/>
      <c r="C112" s="50" t="s">
        <v>351</v>
      </c>
      <c r="D112" s="51" t="s">
        <v>309</v>
      </c>
      <c r="E112" s="62">
        <v>0.0</v>
      </c>
      <c r="F112" s="63">
        <v>10.0</v>
      </c>
      <c r="G112" s="56">
        <v>23.0</v>
      </c>
      <c r="H112" s="55">
        <v>18.0</v>
      </c>
      <c r="I112" s="56">
        <f t="shared" si="13"/>
        <v>-5</v>
      </c>
      <c r="J112" s="57" t="str">
        <f t="shared" si="14"/>
        <v/>
      </c>
      <c r="K112" s="54" t="s">
        <v>10</v>
      </c>
      <c r="L112" s="58" t="str">
        <f>IF(M112="Yes","🔴 BOTTOM",IF(M112="No","✓ Cleared",IF(Q112="MIN",IF(AND(ISNUMBER(F112),ISNUMBER(H112)),IF(H112&lt;F112*'Master Dashboard'!$B$4,"🔴 LOW",""),""),IF(Q112="MAX",IF(AND(ISNUMBER(F112),ISNUMBER(H112)),IF(H112&gt;F112,"🔴 HIGH",""),""),""))))</f>
        <v>🔴 HIGH</v>
      </c>
      <c r="M112" s="54" t="s">
        <v>82</v>
      </c>
      <c r="N112" s="59" t="s">
        <v>83</v>
      </c>
      <c r="O112" s="60" t="s">
        <v>84</v>
      </c>
      <c r="P112" s="61"/>
      <c r="Q112" s="60" t="s">
        <v>114</v>
      </c>
      <c r="R112" s="60" t="s">
        <v>352</v>
      </c>
    </row>
    <row r="113" ht="15.75" customHeight="1">
      <c r="A113" s="48"/>
      <c r="B113" s="49"/>
      <c r="C113" s="50" t="s">
        <v>353</v>
      </c>
      <c r="D113" s="51" t="s">
        <v>309</v>
      </c>
      <c r="E113" s="62">
        <v>0.0</v>
      </c>
      <c r="F113" s="63">
        <v>10.0</v>
      </c>
      <c r="G113" s="56">
        <v>12.0</v>
      </c>
      <c r="H113" s="55">
        <v>12.0</v>
      </c>
      <c r="I113" s="56">
        <f t="shared" si="13"/>
        <v>0</v>
      </c>
      <c r="J113" s="57" t="str">
        <f t="shared" si="14"/>
        <v/>
      </c>
      <c r="K113" s="54" t="s">
        <v>9</v>
      </c>
      <c r="L113" s="58" t="str">
        <f>IF(M113="Yes","🔴 BOTTOM",IF(M113="No","✓ Cleared",IF(Q113="MIN",IF(AND(ISNUMBER(F113),ISNUMBER(H113)),IF(H113&lt;F113*'Master Dashboard'!$B$4,"🔴 LOW",""),""),IF(Q113="MAX",IF(AND(ISNUMBER(F113),ISNUMBER(H113)),IF(H113&gt;F113,"🔴 HIGH",""),""),""))))</f>
        <v>🔴 HIGH</v>
      </c>
      <c r="M113" s="54" t="s">
        <v>82</v>
      </c>
      <c r="N113" s="59" t="s">
        <v>83</v>
      </c>
      <c r="O113" s="60" t="s">
        <v>84</v>
      </c>
      <c r="P113" s="61" t="s">
        <v>354</v>
      </c>
      <c r="Q113" s="60" t="s">
        <v>114</v>
      </c>
      <c r="R113" s="60" t="s">
        <v>355</v>
      </c>
    </row>
    <row r="114" ht="15.75" customHeight="1">
      <c r="A114" s="48"/>
      <c r="B114" s="49"/>
      <c r="C114" s="50" t="s">
        <v>356</v>
      </c>
      <c r="D114" s="51" t="s">
        <v>357</v>
      </c>
      <c r="E114" s="62">
        <v>0.0</v>
      </c>
      <c r="F114" s="63">
        <v>0.0</v>
      </c>
      <c r="G114" s="54"/>
      <c r="H114" s="55">
        <v>4.0</v>
      </c>
      <c r="I114" s="56" t="str">
        <f t="shared" si="13"/>
        <v/>
      </c>
      <c r="J114" s="57" t="str">
        <f t="shared" si="14"/>
        <v/>
      </c>
      <c r="K114" s="54" t="s">
        <v>10</v>
      </c>
      <c r="L114" s="58" t="str">
        <f>IF(M114="Yes","🔴 BOTTOM",IF(M114="No","✓ Cleared",IF(Q114="MIN",IF(AND(ISNUMBER(F114),ISNUMBER(H114)),IF(H114&lt;F114*'Master Dashboard'!$B$4,"🔴 LOW",""),""),IF(Q114="MAX",IF(AND(ISNUMBER(F114),ISNUMBER(H114)),IF(H114&gt;F114,"🔴 HIGH",""),""),""))))</f>
        <v>🔴 HIGH</v>
      </c>
      <c r="M114" s="54" t="s">
        <v>82</v>
      </c>
      <c r="N114" s="59" t="s">
        <v>83</v>
      </c>
      <c r="O114" s="60" t="s">
        <v>84</v>
      </c>
      <c r="P114" s="61" t="s">
        <v>358</v>
      </c>
      <c r="Q114" s="60" t="s">
        <v>114</v>
      </c>
      <c r="R114" s="60" t="s">
        <v>359</v>
      </c>
    </row>
    <row r="115" ht="19.5" customHeight="1">
      <c r="A115" s="67" t="s">
        <v>360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</row>
    <row r="116" ht="15.75" customHeight="1">
      <c r="A116" s="35">
        <v>9.0</v>
      </c>
      <c r="B116" s="36" t="s">
        <v>361</v>
      </c>
      <c r="C116" s="50" t="s">
        <v>362</v>
      </c>
      <c r="D116" s="51" t="s">
        <v>363</v>
      </c>
      <c r="E116" s="68">
        <v>0.8</v>
      </c>
      <c r="F116" s="69">
        <v>0.8</v>
      </c>
      <c r="G116" s="54"/>
      <c r="H116" s="70">
        <v>0.63</v>
      </c>
      <c r="I116" s="57" t="str">
        <f t="shared" ref="I116:I127" si="15">IF(AND(ISNUMBER(G116),ISNUMBER(H116)),H116-G116,"")</f>
        <v/>
      </c>
      <c r="J116" s="57">
        <f t="shared" ref="J116:J127" si="16">IF(AND(ISNUMBER(E116),E116&gt;0,ISNUMBER(H116)),H116/E116,"")</f>
        <v>0.7875</v>
      </c>
      <c r="K116" s="54" t="s">
        <v>10</v>
      </c>
      <c r="L116" s="58" t="str">
        <f>IF(M116="Yes","🔴 BOTTOM",IF(M116="No","✓ Cleared",IF(Q116="MIN",IF(AND(ISNUMBER(F116),ISNUMBER(H116)),IF(H116&lt;F116*'Master Dashboard'!$B$4,"🔴 LOW",""),""),IF(Q116="MAX",IF(AND(ISNUMBER(F116),ISNUMBER(H116)),IF(H116&gt;F116,"🔴 HIGH",""),""),""))))</f>
        <v>🔴 LOW</v>
      </c>
      <c r="M116" s="54" t="s">
        <v>82</v>
      </c>
      <c r="N116" s="59" t="s">
        <v>83</v>
      </c>
      <c r="O116" s="60" t="s">
        <v>84</v>
      </c>
      <c r="P116" s="61" t="s">
        <v>364</v>
      </c>
      <c r="Q116" s="60" t="s">
        <v>110</v>
      </c>
      <c r="R116" s="60" t="s">
        <v>365</v>
      </c>
    </row>
    <row r="117" ht="15.75" customHeight="1">
      <c r="A117" s="48"/>
      <c r="B117" s="49"/>
      <c r="C117" s="50" t="s">
        <v>366</v>
      </c>
      <c r="D117" s="51" t="s">
        <v>367</v>
      </c>
      <c r="E117" s="52"/>
      <c r="F117" s="53"/>
      <c r="G117" s="54"/>
      <c r="H117" s="71"/>
      <c r="I117" s="56" t="str">
        <f t="shared" si="15"/>
        <v/>
      </c>
      <c r="J117" s="57" t="str">
        <f t="shared" si="16"/>
        <v/>
      </c>
      <c r="K117" s="54" t="s">
        <v>10</v>
      </c>
      <c r="L117" s="58" t="str">
        <f>IF(M117="Yes","🔴 BOTTOM",IF(M117="No","✓ Cleared",IF(Q117="MIN",IF(AND(ISNUMBER(F117),ISNUMBER(H117)),IF(H117&lt;F117*'Master Dashboard'!$B$4,"🔴 LOW",""),""),IF(Q117="MAX",IF(AND(ISNUMBER(F117),ISNUMBER(H117)),IF(H117&gt;F117,"🔴 HIGH",""),""),""))))</f>
        <v/>
      </c>
      <c r="M117" s="54" t="s">
        <v>82</v>
      </c>
      <c r="N117" s="59"/>
      <c r="O117" s="60"/>
      <c r="P117" s="61" t="s">
        <v>368</v>
      </c>
      <c r="Q117" s="60"/>
      <c r="R117" s="60" t="s">
        <v>369</v>
      </c>
    </row>
    <row r="118" ht="15.75" customHeight="1">
      <c r="A118" s="48"/>
      <c r="B118" s="49"/>
      <c r="C118" s="50" t="s">
        <v>370</v>
      </c>
      <c r="D118" s="51" t="s">
        <v>371</v>
      </c>
      <c r="E118" s="52"/>
      <c r="F118" s="63">
        <v>10.0</v>
      </c>
      <c r="G118" s="54"/>
      <c r="H118" s="71"/>
      <c r="I118" s="56" t="str">
        <f t="shared" si="15"/>
        <v/>
      </c>
      <c r="J118" s="57" t="str">
        <f t="shared" si="16"/>
        <v/>
      </c>
      <c r="K118" s="54" t="s">
        <v>9</v>
      </c>
      <c r="L118" s="58" t="str">
        <f>IF(M118="Yes","🔴 BOTTOM",IF(M118="No","✓ Cleared",IF(Q118="MIN",IF(AND(ISNUMBER(F118),ISNUMBER(H118)),IF(H118&lt;F118*'Master Dashboard'!$B$4,"🔴 LOW",""),""),IF(Q118="MAX",IF(AND(ISNUMBER(F118),ISNUMBER(H118)),IF(H118&gt;F118,"🔴 HIGH",""),""),""))))</f>
        <v/>
      </c>
      <c r="M118" s="54" t="s">
        <v>82</v>
      </c>
      <c r="N118" s="59"/>
      <c r="O118" s="60"/>
      <c r="P118" s="61" t="s">
        <v>372</v>
      </c>
      <c r="Q118" s="60" t="s">
        <v>114</v>
      </c>
      <c r="R118" s="60" t="s">
        <v>373</v>
      </c>
    </row>
    <row r="119" ht="15.75" customHeight="1">
      <c r="A119" s="35">
        <v>10.0</v>
      </c>
      <c r="B119" s="36" t="s">
        <v>374</v>
      </c>
      <c r="C119" s="50" t="s">
        <v>375</v>
      </c>
      <c r="D119" s="51" t="s">
        <v>376</v>
      </c>
      <c r="E119" s="52"/>
      <c r="F119" s="53"/>
      <c r="G119" s="54"/>
      <c r="H119" s="71"/>
      <c r="I119" s="56" t="str">
        <f t="shared" si="15"/>
        <v/>
      </c>
      <c r="J119" s="57" t="str">
        <f t="shared" si="16"/>
        <v/>
      </c>
      <c r="K119" s="54" t="s">
        <v>10</v>
      </c>
      <c r="L119" s="58" t="str">
        <f>IF(M119="Yes","🔴 BOTTOM",IF(M119="No","✓ Cleared",IF(Q119="MIN",IF(AND(ISNUMBER(F119),ISNUMBER(H119)),IF(H119&lt;F119*'Master Dashboard'!$B$4,"🔴 LOW",""),""),IF(Q119="MAX",IF(AND(ISNUMBER(F119),ISNUMBER(H119)),IF(H119&gt;F119,"🔴 HIGH",""),""),""))))</f>
        <v/>
      </c>
      <c r="M119" s="54" t="s">
        <v>82</v>
      </c>
      <c r="N119" s="59"/>
      <c r="O119" s="60"/>
      <c r="P119" s="61" t="s">
        <v>377</v>
      </c>
      <c r="Q119" s="60"/>
      <c r="R119" s="60" t="s">
        <v>378</v>
      </c>
    </row>
    <row r="120" ht="15.75" customHeight="1">
      <c r="A120" s="48"/>
      <c r="B120" s="49"/>
      <c r="C120" s="50" t="s">
        <v>379</v>
      </c>
      <c r="D120" s="51" t="s">
        <v>380</v>
      </c>
      <c r="E120" s="52"/>
      <c r="F120" s="53"/>
      <c r="G120" s="54"/>
      <c r="H120" s="71"/>
      <c r="I120" s="56" t="str">
        <f t="shared" si="15"/>
        <v/>
      </c>
      <c r="J120" s="57" t="str">
        <f t="shared" si="16"/>
        <v/>
      </c>
      <c r="K120" s="54" t="s">
        <v>10</v>
      </c>
      <c r="L120" s="58" t="str">
        <f>IF(M120="Yes","🔴 BOTTOM",IF(M120="No","✓ Cleared",IF(Q120="MIN",IF(AND(ISNUMBER(F120),ISNUMBER(H120)),IF(H120&lt;F120*'Master Dashboard'!$B$4,"🔴 LOW",""),""),IF(Q120="MAX",IF(AND(ISNUMBER(F120),ISNUMBER(H120)),IF(H120&gt;F120,"🔴 HIGH",""),""),""))))</f>
        <v/>
      </c>
      <c r="M120" s="54" t="s">
        <v>82</v>
      </c>
      <c r="N120" s="59"/>
      <c r="O120" s="60"/>
      <c r="P120" s="61" t="s">
        <v>381</v>
      </c>
      <c r="Q120" s="60"/>
      <c r="R120" s="60" t="s">
        <v>382</v>
      </c>
    </row>
    <row r="121" ht="15.75" customHeight="1">
      <c r="A121" s="48"/>
      <c r="B121" s="49"/>
      <c r="C121" s="50" t="s">
        <v>383</v>
      </c>
      <c r="D121" s="51" t="s">
        <v>380</v>
      </c>
      <c r="E121" s="52"/>
      <c r="F121" s="53"/>
      <c r="G121" s="54"/>
      <c r="H121" s="71"/>
      <c r="I121" s="56" t="str">
        <f t="shared" si="15"/>
        <v/>
      </c>
      <c r="J121" s="57" t="str">
        <f t="shared" si="16"/>
        <v/>
      </c>
      <c r="K121" s="54" t="s">
        <v>10</v>
      </c>
      <c r="L121" s="58" t="str">
        <f>IF(M121="Yes","🔴 BOTTOM",IF(M121="No","✓ Cleared",IF(Q121="MIN",IF(AND(ISNUMBER(F121),ISNUMBER(H121)),IF(H121&lt;F121*'Master Dashboard'!$B$4,"🔴 LOW",""),""),IF(Q121="MAX",IF(AND(ISNUMBER(F121),ISNUMBER(H121)),IF(H121&gt;F121,"🔴 HIGH",""),""),""))))</f>
        <v/>
      </c>
      <c r="M121" s="54" t="s">
        <v>82</v>
      </c>
      <c r="N121" s="59"/>
      <c r="O121" s="60"/>
      <c r="P121" s="61" t="s">
        <v>384</v>
      </c>
      <c r="Q121" s="60"/>
      <c r="R121" s="60" t="s">
        <v>385</v>
      </c>
    </row>
    <row r="122" ht="15.75" customHeight="1">
      <c r="A122" s="35">
        <v>11.0</v>
      </c>
      <c r="B122" s="36" t="s">
        <v>386</v>
      </c>
      <c r="C122" s="50" t="s">
        <v>387</v>
      </c>
      <c r="D122" s="51" t="s">
        <v>388</v>
      </c>
      <c r="E122" s="62">
        <v>448.0</v>
      </c>
      <c r="F122" s="63">
        <v>448.0</v>
      </c>
      <c r="G122" s="54"/>
      <c r="H122" s="55">
        <v>51.0</v>
      </c>
      <c r="I122" s="56" t="str">
        <f t="shared" si="15"/>
        <v/>
      </c>
      <c r="J122" s="57">
        <f t="shared" si="16"/>
        <v>0.1138392857</v>
      </c>
      <c r="K122" s="54" t="s">
        <v>10</v>
      </c>
      <c r="L122" s="58" t="str">
        <f>IF(M122="Yes","🔴 BOTTOM",IF(M122="No","✓ Cleared",IF(Q122="MIN",IF(AND(ISNUMBER(F122),ISNUMBER(H122)),IF(H122&lt;F122*'Master Dashboard'!$B$4,"🔴 LOW",""),""),IF(Q122="MAX",IF(AND(ISNUMBER(F122),ISNUMBER(H122)),IF(H122&gt;F122,"🔴 HIGH",""),""),""))))</f>
        <v>🔴 LOW</v>
      </c>
      <c r="M122" s="54" t="s">
        <v>82</v>
      </c>
      <c r="N122" s="59" t="s">
        <v>83</v>
      </c>
      <c r="O122" s="60" t="s">
        <v>84</v>
      </c>
      <c r="P122" s="61" t="s">
        <v>389</v>
      </c>
      <c r="Q122" s="60" t="s">
        <v>110</v>
      </c>
      <c r="R122" s="60" t="s">
        <v>390</v>
      </c>
    </row>
    <row r="123" ht="15.75" customHeight="1">
      <c r="A123" s="48"/>
      <c r="B123" s="49"/>
      <c r="C123" s="50" t="s">
        <v>391</v>
      </c>
      <c r="D123" s="51" t="s">
        <v>392</v>
      </c>
      <c r="E123" s="62">
        <v>0.0</v>
      </c>
      <c r="F123" s="63">
        <v>0.0</v>
      </c>
      <c r="G123" s="54"/>
      <c r="H123" s="55">
        <v>3500.0</v>
      </c>
      <c r="I123" s="56" t="str">
        <f t="shared" si="15"/>
        <v/>
      </c>
      <c r="J123" s="57" t="str">
        <f t="shared" si="16"/>
        <v/>
      </c>
      <c r="K123" s="54" t="s">
        <v>9</v>
      </c>
      <c r="L123" s="58" t="str">
        <f>IF(M123="Yes","🔴 BOTTOM",IF(M123="No","✓ Cleared",IF(Q123="MIN",IF(AND(ISNUMBER(F123),ISNUMBER(H123)),IF(H123&lt;F123*'Master Dashboard'!$B$4,"🔴 LOW",""),""),IF(Q123="MAX",IF(AND(ISNUMBER(F123),ISNUMBER(H123)),IF(H123&gt;F123,"🔴 HIGH",""),""),""))))</f>
        <v>🔴 HIGH</v>
      </c>
      <c r="M123" s="54" t="s">
        <v>82</v>
      </c>
      <c r="N123" s="59" t="s">
        <v>83</v>
      </c>
      <c r="O123" s="60" t="s">
        <v>84</v>
      </c>
      <c r="P123" s="61" t="s">
        <v>393</v>
      </c>
      <c r="Q123" s="60" t="s">
        <v>114</v>
      </c>
      <c r="R123" s="60" t="s">
        <v>394</v>
      </c>
    </row>
    <row r="124" ht="15.75" customHeight="1">
      <c r="A124" s="48"/>
      <c r="B124" s="49"/>
      <c r="C124" s="50" t="s">
        <v>395</v>
      </c>
      <c r="D124" s="51" t="s">
        <v>380</v>
      </c>
      <c r="E124" s="52"/>
      <c r="F124" s="53"/>
      <c r="G124" s="54"/>
      <c r="H124" s="71"/>
      <c r="I124" s="56" t="str">
        <f t="shared" si="15"/>
        <v/>
      </c>
      <c r="J124" s="57" t="str">
        <f t="shared" si="16"/>
        <v/>
      </c>
      <c r="K124" s="54" t="s">
        <v>9</v>
      </c>
      <c r="L124" s="58" t="str">
        <f>IF(M124="Yes","🔴 BOTTOM",IF(M124="No","✓ Cleared",IF(Q124="MIN",IF(AND(ISNUMBER(F124),ISNUMBER(H124)),IF(H124&lt;F124*'Master Dashboard'!$B$4,"🔴 LOW",""),""),IF(Q124="MAX",IF(AND(ISNUMBER(F124),ISNUMBER(H124)),IF(H124&gt;F124,"🔴 HIGH",""),""),""))))</f>
        <v/>
      </c>
      <c r="M124" s="54" t="s">
        <v>82</v>
      </c>
      <c r="N124" s="59"/>
      <c r="O124" s="60"/>
      <c r="P124" s="61" t="s">
        <v>396</v>
      </c>
      <c r="Q124" s="60"/>
      <c r="R124" s="60" t="s">
        <v>397</v>
      </c>
    </row>
    <row r="125" ht="15.75" customHeight="1">
      <c r="A125" s="35">
        <v>12.0</v>
      </c>
      <c r="B125" s="36" t="s">
        <v>398</v>
      </c>
      <c r="C125" s="50" t="s">
        <v>399</v>
      </c>
      <c r="D125" s="51" t="s">
        <v>309</v>
      </c>
      <c r="E125" s="52"/>
      <c r="F125" s="53"/>
      <c r="G125" s="54"/>
      <c r="H125" s="71"/>
      <c r="I125" s="56" t="str">
        <f t="shared" si="15"/>
        <v/>
      </c>
      <c r="J125" s="57" t="str">
        <f t="shared" si="16"/>
        <v/>
      </c>
      <c r="K125" s="54" t="s">
        <v>9</v>
      </c>
      <c r="L125" s="58" t="str">
        <f>IF(M125="Yes","🔴 BOTTOM",IF(M125="No","✓ Cleared",IF(Q125="MIN",IF(AND(ISNUMBER(F125),ISNUMBER(H125)),IF(H125&lt;F125*'Master Dashboard'!$B$4,"🔴 LOW",""),""),IF(Q125="MAX",IF(AND(ISNUMBER(F125),ISNUMBER(H125)),IF(H125&gt;F125,"🔴 HIGH",""),""),""))))</f>
        <v/>
      </c>
      <c r="M125" s="54" t="s">
        <v>82</v>
      </c>
      <c r="N125" s="59"/>
      <c r="O125" s="60"/>
      <c r="P125" s="61" t="s">
        <v>400</v>
      </c>
      <c r="Q125" s="60"/>
      <c r="R125" s="60" t="s">
        <v>401</v>
      </c>
    </row>
    <row r="126" ht="15.75" customHeight="1">
      <c r="A126" s="48"/>
      <c r="B126" s="49"/>
      <c r="C126" s="50" t="s">
        <v>402</v>
      </c>
      <c r="D126" s="51" t="s">
        <v>367</v>
      </c>
      <c r="E126" s="52"/>
      <c r="F126" s="53"/>
      <c r="G126" s="54"/>
      <c r="H126" s="71"/>
      <c r="I126" s="56" t="str">
        <f t="shared" si="15"/>
        <v/>
      </c>
      <c r="J126" s="57" t="str">
        <f t="shared" si="16"/>
        <v/>
      </c>
      <c r="K126" s="54" t="s">
        <v>10</v>
      </c>
      <c r="L126" s="58" t="str">
        <f>IF(M126="Yes","🔴 BOTTOM",IF(M126="No","✓ Cleared",IF(Q126="MIN",IF(AND(ISNUMBER(F126),ISNUMBER(H126)),IF(H126&lt;F126*'Master Dashboard'!$B$4,"🔴 LOW",""),""),IF(Q126="MAX",IF(AND(ISNUMBER(F126),ISNUMBER(H126)),IF(H126&gt;F126,"🔴 HIGH",""),""),""))))</f>
        <v/>
      </c>
      <c r="M126" s="54" t="s">
        <v>82</v>
      </c>
      <c r="N126" s="59"/>
      <c r="O126" s="60"/>
      <c r="P126" s="61" t="s">
        <v>403</v>
      </c>
      <c r="Q126" s="60"/>
      <c r="R126" s="60" t="s">
        <v>404</v>
      </c>
    </row>
    <row r="127" ht="15.75" customHeight="1">
      <c r="A127" s="35">
        <v>13.0</v>
      </c>
      <c r="B127" s="36" t="s">
        <v>405</v>
      </c>
      <c r="C127" s="50" t="s">
        <v>406</v>
      </c>
      <c r="D127" s="51" t="s">
        <v>367</v>
      </c>
      <c r="E127" s="52"/>
      <c r="F127" s="53"/>
      <c r="G127" s="54"/>
      <c r="H127" s="71"/>
      <c r="I127" s="56" t="str">
        <f t="shared" si="15"/>
        <v/>
      </c>
      <c r="J127" s="57" t="str">
        <f t="shared" si="16"/>
        <v/>
      </c>
      <c r="K127" s="54" t="s">
        <v>9</v>
      </c>
      <c r="L127" s="58" t="str">
        <f>IF(M127="Yes","🔴 BOTTOM",IF(M127="No","✓ Cleared",IF(Q127="MIN",IF(AND(ISNUMBER(F127),ISNUMBER(H127)),IF(H127&lt;F127*'Master Dashboard'!$B$4,"🔴 LOW",""),""),IF(Q127="MAX",IF(AND(ISNUMBER(F127),ISNUMBER(H127)),IF(H127&gt;F127,"🔴 HIGH",""),""),""))))</f>
        <v/>
      </c>
      <c r="M127" s="54" t="s">
        <v>82</v>
      </c>
      <c r="N127" s="59"/>
      <c r="O127" s="60"/>
      <c r="P127" s="61" t="s">
        <v>407</v>
      </c>
      <c r="Q127" s="60"/>
      <c r="R127" s="60" t="s">
        <v>408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2:$P$127"/>
  <mergeCells count="3">
    <mergeCell ref="A1:P1"/>
    <mergeCell ref="A3:P3"/>
    <mergeCell ref="A115:P115"/>
  </mergeCells>
  <conditionalFormatting sqref="K3:K127">
    <cfRule type="cellIs" dxfId="0" priority="1" operator="equal">
      <formula>"Completed"</formula>
    </cfRule>
  </conditionalFormatting>
  <conditionalFormatting sqref="K3:K127">
    <cfRule type="cellIs" dxfId="1" priority="2" operator="equal">
      <formula>"On Track"</formula>
    </cfRule>
  </conditionalFormatting>
  <conditionalFormatting sqref="K3:K127">
    <cfRule type="cellIs" dxfId="2" priority="3" operator="equal">
      <formula>"In Progress"</formula>
    </cfRule>
  </conditionalFormatting>
  <conditionalFormatting sqref="K3:K127">
    <cfRule type="cellIs" dxfId="3" priority="4" operator="equal">
      <formula>"Pending/Blocked"</formula>
    </cfRule>
  </conditionalFormatting>
  <conditionalFormatting sqref="K3:K127">
    <cfRule type="cellIs" dxfId="4" priority="5" operator="equal">
      <formula>"Not Started"</formula>
    </cfRule>
  </conditionalFormatting>
  <conditionalFormatting sqref="L3:L127">
    <cfRule type="expression" dxfId="5" priority="6">
      <formula>ISNUMBER(SEARCH("BOTTOM",L3))</formula>
    </cfRule>
  </conditionalFormatting>
  <conditionalFormatting sqref="L3:L127">
    <cfRule type="expression" dxfId="6" priority="7">
      <formula>OR(ISNUMBER(SEARCH("LOW",L3)),ISNUMBER(SEARCH("HIGH",L3)))</formula>
    </cfRule>
  </conditionalFormatting>
  <conditionalFormatting sqref="L3:L127">
    <cfRule type="expression" dxfId="0" priority="8">
      <formula>ISNUMBER(SEARCH("Cleared",L3))</formula>
    </cfRule>
  </conditionalFormatting>
  <dataValidations>
    <dataValidation type="list" allowBlank="1" sqref="K4:K114 K116:K127">
      <formula1>"Not Started,In Progress,Pending/Blocked,On Track,Completed"</formula1>
    </dataValidation>
    <dataValidation type="list" allowBlank="1" sqref="M4:M114 M116:M127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3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410</v>
      </c>
      <c r="C4" s="37" t="s">
        <v>411</v>
      </c>
      <c r="D4" s="38"/>
      <c r="E4" s="39"/>
      <c r="F4" s="40"/>
      <c r="G4" s="41"/>
      <c r="H4" s="42">
        <v>14548.0</v>
      </c>
      <c r="I4" s="43"/>
      <c r="J4" s="43"/>
      <c r="K4" s="43"/>
      <c r="L4" s="43"/>
      <c r="M4" s="43"/>
      <c r="N4" s="43"/>
      <c r="O4" s="43"/>
      <c r="P4" s="44" t="s">
        <v>412</v>
      </c>
      <c r="Q4" s="45"/>
      <c r="R4" s="45"/>
    </row>
    <row r="5">
      <c r="A5" s="46"/>
      <c r="B5" s="47"/>
      <c r="C5" s="37" t="s">
        <v>413</v>
      </c>
      <c r="D5" s="38"/>
      <c r="E5" s="39"/>
      <c r="F5" s="40"/>
      <c r="G5" s="41"/>
      <c r="H5" s="72" t="s">
        <v>414</v>
      </c>
      <c r="I5" s="43"/>
      <c r="J5" s="43"/>
      <c r="K5" s="43"/>
      <c r="L5" s="43"/>
      <c r="M5" s="43"/>
      <c r="N5" s="43"/>
      <c r="O5" s="43"/>
      <c r="P5" s="44" t="s">
        <v>415</v>
      </c>
      <c r="Q5" s="45"/>
      <c r="R5" s="45"/>
    </row>
    <row r="6">
      <c r="A6" s="48"/>
      <c r="B6" s="49"/>
      <c r="C6" s="50" t="s">
        <v>416</v>
      </c>
      <c r="D6" s="51" t="s">
        <v>417</v>
      </c>
      <c r="E6" s="62">
        <v>25556.0</v>
      </c>
      <c r="F6" s="63">
        <v>20445.0</v>
      </c>
      <c r="G6" s="56">
        <v>14107.0</v>
      </c>
      <c r="H6" s="55">
        <v>14548.0</v>
      </c>
      <c r="I6" s="56">
        <f t="shared" ref="I6:I12" si="1">IF(AND(ISNUMBER(G6),ISNUMBER(H6)),H6-G6,"")</f>
        <v>441</v>
      </c>
      <c r="J6" s="57">
        <f t="shared" ref="J6:J12" si="2">IF(AND(ISNUMBER(E6),E6&gt;0,ISNUMBER(H6)),H6/E6,"")</f>
        <v>0.569259665</v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>🔴 LOW</v>
      </c>
      <c r="M6" s="54" t="s">
        <v>82</v>
      </c>
      <c r="N6" s="59" t="s">
        <v>83</v>
      </c>
      <c r="O6" s="60" t="s">
        <v>84</v>
      </c>
      <c r="P6" s="61" t="s">
        <v>418</v>
      </c>
      <c r="Q6" s="60" t="s">
        <v>110</v>
      </c>
      <c r="R6" s="60" t="s">
        <v>419</v>
      </c>
    </row>
    <row r="7">
      <c r="A7" s="48"/>
      <c r="B7" s="49"/>
      <c r="C7" s="50" t="s">
        <v>420</v>
      </c>
      <c r="D7" s="51" t="s">
        <v>421</v>
      </c>
      <c r="E7" s="62">
        <v>2487.0</v>
      </c>
      <c r="F7" s="63">
        <v>2238.0</v>
      </c>
      <c r="G7" s="56">
        <v>1776.0</v>
      </c>
      <c r="H7" s="55">
        <v>1810.0</v>
      </c>
      <c r="I7" s="56">
        <f t="shared" si="1"/>
        <v>34</v>
      </c>
      <c r="J7" s="57">
        <f t="shared" si="2"/>
        <v>0.7277844793</v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LOW</v>
      </c>
      <c r="M7" s="54" t="s">
        <v>82</v>
      </c>
      <c r="N7" s="59" t="s">
        <v>83</v>
      </c>
      <c r="O7" s="60" t="s">
        <v>84</v>
      </c>
      <c r="P7" s="61" t="s">
        <v>422</v>
      </c>
      <c r="Q7" s="60" t="s">
        <v>110</v>
      </c>
      <c r="R7" s="60" t="s">
        <v>423</v>
      </c>
    </row>
    <row r="8">
      <c r="A8" s="48"/>
      <c r="B8" s="49"/>
      <c r="C8" s="50" t="s">
        <v>424</v>
      </c>
      <c r="D8" s="51" t="s">
        <v>421</v>
      </c>
      <c r="E8" s="62">
        <v>2487.0</v>
      </c>
      <c r="F8" s="63">
        <v>2487.0</v>
      </c>
      <c r="G8" s="56">
        <v>2487.0</v>
      </c>
      <c r="H8" s="55">
        <v>2487.0</v>
      </c>
      <c r="I8" s="56">
        <f t="shared" si="1"/>
        <v>0</v>
      </c>
      <c r="J8" s="57">
        <f t="shared" si="2"/>
        <v>1</v>
      </c>
      <c r="K8" s="54" t="s">
        <v>7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 t="s">
        <v>83</v>
      </c>
      <c r="O8" s="60" t="s">
        <v>84</v>
      </c>
      <c r="P8" s="61" t="s">
        <v>425</v>
      </c>
      <c r="Q8" s="60" t="s">
        <v>110</v>
      </c>
      <c r="R8" s="60" t="s">
        <v>426</v>
      </c>
    </row>
    <row r="9">
      <c r="A9" s="48"/>
      <c r="B9" s="49"/>
      <c r="C9" s="50" t="s">
        <v>427</v>
      </c>
      <c r="D9" s="51" t="s">
        <v>421</v>
      </c>
      <c r="E9" s="62">
        <v>2487.0</v>
      </c>
      <c r="F9" s="63">
        <v>2487.0</v>
      </c>
      <c r="G9" s="56">
        <v>2487.0</v>
      </c>
      <c r="H9" s="55">
        <v>2487.0</v>
      </c>
      <c r="I9" s="56">
        <f t="shared" si="1"/>
        <v>0</v>
      </c>
      <c r="J9" s="57">
        <f t="shared" si="2"/>
        <v>1</v>
      </c>
      <c r="K9" s="54" t="s">
        <v>7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 t="s">
        <v>83</v>
      </c>
      <c r="O9" s="60" t="s">
        <v>84</v>
      </c>
      <c r="P9" s="61" t="s">
        <v>425</v>
      </c>
      <c r="Q9" s="60" t="s">
        <v>110</v>
      </c>
      <c r="R9" s="60" t="s">
        <v>428</v>
      </c>
    </row>
    <row r="10">
      <c r="A10" s="48"/>
      <c r="B10" s="49"/>
      <c r="C10" s="50" t="s">
        <v>429</v>
      </c>
      <c r="D10" s="51" t="s">
        <v>421</v>
      </c>
      <c r="E10" s="62">
        <v>2487.0</v>
      </c>
      <c r="F10" s="63">
        <v>2487.0</v>
      </c>
      <c r="G10" s="56">
        <v>2487.0</v>
      </c>
      <c r="H10" s="55">
        <v>2487.0</v>
      </c>
      <c r="I10" s="56">
        <f t="shared" si="1"/>
        <v>0</v>
      </c>
      <c r="J10" s="57">
        <f t="shared" si="2"/>
        <v>1</v>
      </c>
      <c r="K10" s="54" t="s">
        <v>7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 t="s">
        <v>83</v>
      </c>
      <c r="O10" s="60" t="s">
        <v>84</v>
      </c>
      <c r="P10" s="61" t="s">
        <v>425</v>
      </c>
      <c r="Q10" s="60" t="s">
        <v>110</v>
      </c>
      <c r="R10" s="60" t="s">
        <v>430</v>
      </c>
    </row>
    <row r="11">
      <c r="A11" s="48"/>
      <c r="B11" s="49"/>
      <c r="C11" s="50" t="s">
        <v>431</v>
      </c>
      <c r="D11" s="51" t="s">
        <v>117</v>
      </c>
      <c r="E11" s="62">
        <v>12.0</v>
      </c>
      <c r="F11" s="63">
        <v>12.0</v>
      </c>
      <c r="G11" s="56">
        <v>0.0</v>
      </c>
      <c r="H11" s="55">
        <v>6.0</v>
      </c>
      <c r="I11" s="56">
        <f t="shared" si="1"/>
        <v>6</v>
      </c>
      <c r="J11" s="57">
        <f t="shared" si="2"/>
        <v>0.5</v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>🔴 LOW</v>
      </c>
      <c r="M11" s="54" t="s">
        <v>82</v>
      </c>
      <c r="N11" s="59" t="s">
        <v>83</v>
      </c>
      <c r="O11" s="60" t="s">
        <v>84</v>
      </c>
      <c r="P11" s="61" t="s">
        <v>432</v>
      </c>
      <c r="Q11" s="60" t="s">
        <v>110</v>
      </c>
      <c r="R11" s="60" t="s">
        <v>433</v>
      </c>
    </row>
    <row r="12">
      <c r="A12" s="48"/>
      <c r="B12" s="49"/>
      <c r="C12" s="50" t="s">
        <v>434</v>
      </c>
      <c r="D12" s="51" t="s">
        <v>117</v>
      </c>
      <c r="E12" s="62">
        <v>14.0</v>
      </c>
      <c r="F12" s="63">
        <v>14.0</v>
      </c>
      <c r="G12" s="56">
        <v>2.0</v>
      </c>
      <c r="H12" s="55">
        <v>2.0</v>
      </c>
      <c r="I12" s="56">
        <f t="shared" si="1"/>
        <v>0</v>
      </c>
      <c r="J12" s="57">
        <f t="shared" si="2"/>
        <v>0.1428571429</v>
      </c>
      <c r="K12" s="54" t="s">
        <v>10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>🔴 LOW</v>
      </c>
      <c r="M12" s="54" t="s">
        <v>82</v>
      </c>
      <c r="N12" s="59" t="s">
        <v>83</v>
      </c>
      <c r="O12" s="60" t="s">
        <v>84</v>
      </c>
      <c r="P12" s="61" t="s">
        <v>435</v>
      </c>
      <c r="Q12" s="60" t="s">
        <v>110</v>
      </c>
      <c r="R12" s="60" t="s">
        <v>436</v>
      </c>
    </row>
    <row r="13">
      <c r="A13" s="35">
        <v>2.0</v>
      </c>
      <c r="B13" s="36" t="s">
        <v>437</v>
      </c>
      <c r="C13" s="37" t="s">
        <v>438</v>
      </c>
      <c r="D13" s="38"/>
      <c r="E13" s="39"/>
      <c r="F13" s="40"/>
      <c r="G13" s="41"/>
      <c r="H13" s="42">
        <v>433.0</v>
      </c>
      <c r="I13" s="43"/>
      <c r="J13" s="43"/>
      <c r="K13" s="43"/>
      <c r="L13" s="43"/>
      <c r="M13" s="43"/>
      <c r="N13" s="43"/>
      <c r="O13" s="43"/>
      <c r="P13" s="44" t="s">
        <v>439</v>
      </c>
      <c r="Q13" s="45"/>
      <c r="R13" s="45"/>
    </row>
    <row r="14">
      <c r="A14" s="46"/>
      <c r="B14" s="47"/>
      <c r="C14" s="37" t="s">
        <v>440</v>
      </c>
      <c r="D14" s="38"/>
      <c r="E14" s="39"/>
      <c r="F14" s="40"/>
      <c r="G14" s="41"/>
      <c r="H14" s="42">
        <v>431.0</v>
      </c>
      <c r="I14" s="43"/>
      <c r="J14" s="43"/>
      <c r="K14" s="43"/>
      <c r="L14" s="43"/>
      <c r="M14" s="43"/>
      <c r="N14" s="43"/>
      <c r="O14" s="43"/>
      <c r="P14" s="44" t="s">
        <v>441</v>
      </c>
      <c r="Q14" s="45"/>
      <c r="R14" s="45"/>
    </row>
    <row r="15">
      <c r="A15" s="46"/>
      <c r="B15" s="47"/>
      <c r="C15" s="37" t="s">
        <v>442</v>
      </c>
      <c r="D15" s="38"/>
      <c r="E15" s="39"/>
      <c r="F15" s="40"/>
      <c r="G15" s="41"/>
      <c r="H15" s="42">
        <v>326.0</v>
      </c>
      <c r="I15" s="43"/>
      <c r="J15" s="43"/>
      <c r="K15" s="43"/>
      <c r="L15" s="43"/>
      <c r="M15" s="43"/>
      <c r="N15" s="43"/>
      <c r="O15" s="43"/>
      <c r="P15" s="44" t="s">
        <v>443</v>
      </c>
      <c r="Q15" s="45"/>
      <c r="R15" s="45"/>
    </row>
    <row r="16">
      <c r="A16" s="46"/>
      <c r="B16" s="47"/>
      <c r="C16" s="37" t="s">
        <v>444</v>
      </c>
      <c r="D16" s="38"/>
      <c r="E16" s="39"/>
      <c r="F16" s="40"/>
      <c r="G16" s="41"/>
      <c r="H16" s="42">
        <v>105.0</v>
      </c>
      <c r="I16" s="43"/>
      <c r="J16" s="43"/>
      <c r="K16" s="43"/>
      <c r="L16" s="43"/>
      <c r="M16" s="43"/>
      <c r="N16" s="43"/>
      <c r="O16" s="43"/>
      <c r="P16" s="44" t="s">
        <v>445</v>
      </c>
      <c r="Q16" s="45"/>
      <c r="R16" s="45"/>
    </row>
    <row r="17">
      <c r="A17" s="46"/>
      <c r="B17" s="47"/>
      <c r="C17" s="37" t="s">
        <v>446</v>
      </c>
      <c r="D17" s="38"/>
      <c r="E17" s="39"/>
      <c r="F17" s="40"/>
      <c r="G17" s="41"/>
      <c r="H17" s="42">
        <v>2.0</v>
      </c>
      <c r="I17" s="43"/>
      <c r="J17" s="43"/>
      <c r="K17" s="43"/>
      <c r="L17" s="43"/>
      <c r="M17" s="43"/>
      <c r="N17" s="43"/>
      <c r="O17" s="43"/>
      <c r="P17" s="44" t="s">
        <v>447</v>
      </c>
      <c r="Q17" s="45"/>
      <c r="R17" s="45"/>
    </row>
    <row r="18">
      <c r="A18" s="48"/>
      <c r="B18" s="49"/>
      <c r="C18" s="50" t="s">
        <v>448</v>
      </c>
      <c r="D18" s="51" t="s">
        <v>449</v>
      </c>
      <c r="E18" s="62">
        <v>433.0</v>
      </c>
      <c r="F18" s="63">
        <v>433.0</v>
      </c>
      <c r="G18" s="54"/>
      <c r="H18" s="55">
        <v>105.0</v>
      </c>
      <c r="I18" s="56" t="str">
        <f t="shared" ref="I18:I30" si="3">IF(AND(ISNUMBER(G18),ISNUMBER(H18)),H18-G18,"")</f>
        <v/>
      </c>
      <c r="J18" s="57">
        <f t="shared" ref="J18:J30" si="4">IF(AND(ISNUMBER(E18),E18&gt;0,ISNUMBER(H18)),H18/E18,"")</f>
        <v>0.2424942263</v>
      </c>
      <c r="K18" s="54" t="s">
        <v>9</v>
      </c>
      <c r="L18" s="58" t="str">
        <f>IF(M18="Yes","🔴 BOTTOM",IF(M18="No","✓ Cleared",IF(Q18="MIN",IF(AND(ISNUMBER(F18),ISNUMBER(H18)),IF(H18&lt;F18*'Master Dashboard'!$B$4,"🔴 LOW",""),""),IF(Q18="MAX",IF(AND(ISNUMBER(F18),ISNUMBER(H18)),IF(H18&gt;F18,"🔴 HIGH",""),""),""))))</f>
        <v>🔴 LOW</v>
      </c>
      <c r="M18" s="54" t="s">
        <v>82</v>
      </c>
      <c r="N18" s="59" t="s">
        <v>83</v>
      </c>
      <c r="O18" s="60" t="s">
        <v>84</v>
      </c>
      <c r="P18" s="61" t="s">
        <v>450</v>
      </c>
      <c r="Q18" s="60" t="s">
        <v>110</v>
      </c>
      <c r="R18" s="60" t="s">
        <v>451</v>
      </c>
    </row>
    <row r="19">
      <c r="A19" s="48"/>
      <c r="B19" s="49"/>
      <c r="C19" s="50" t="s">
        <v>452</v>
      </c>
      <c r="D19" s="51" t="s">
        <v>449</v>
      </c>
      <c r="E19" s="62">
        <v>34.0</v>
      </c>
      <c r="F19" s="63">
        <v>1.0</v>
      </c>
      <c r="G19" s="54"/>
      <c r="H19" s="55">
        <v>29.0</v>
      </c>
      <c r="I19" s="56" t="str">
        <f t="shared" si="3"/>
        <v/>
      </c>
      <c r="J19" s="57">
        <f t="shared" si="4"/>
        <v>0.8529411765</v>
      </c>
      <c r="K19" s="54" t="s">
        <v>9</v>
      </c>
      <c r="L19" s="58" t="str">
        <f>IF(M19="Yes","🔴 BOTTOM",IF(M19="No","✓ Cleared",IF(Q19="MIN",IF(AND(ISNUMBER(F19),ISNUMBER(H19)),IF(H19&lt;F19*'Master Dashboard'!$B$4,"🔴 LOW",""),""),IF(Q19="MAX",IF(AND(ISNUMBER(F19),ISNUMBER(H19)),IF(H19&gt;F19,"🔴 HIGH",""),""),""))))</f>
        <v/>
      </c>
      <c r="M19" s="54" t="s">
        <v>82</v>
      </c>
      <c r="N19" s="59" t="s">
        <v>83</v>
      </c>
      <c r="O19" s="60" t="s">
        <v>84</v>
      </c>
      <c r="P19" s="61" t="s">
        <v>453</v>
      </c>
      <c r="Q19" s="60" t="s">
        <v>110</v>
      </c>
      <c r="R19" s="60" t="s">
        <v>454</v>
      </c>
    </row>
    <row r="20">
      <c r="A20" s="48"/>
      <c r="B20" s="49"/>
      <c r="C20" s="50" t="s">
        <v>455</v>
      </c>
      <c r="D20" s="51" t="s">
        <v>449</v>
      </c>
      <c r="E20" s="62">
        <v>42.0</v>
      </c>
      <c r="F20" s="63">
        <v>1.0</v>
      </c>
      <c r="G20" s="54"/>
      <c r="H20" s="55">
        <v>4.0</v>
      </c>
      <c r="I20" s="56" t="str">
        <f t="shared" si="3"/>
        <v/>
      </c>
      <c r="J20" s="57">
        <f t="shared" si="4"/>
        <v>0.09523809524</v>
      </c>
      <c r="K20" s="54" t="s">
        <v>9</v>
      </c>
      <c r="L20" s="58" t="str">
        <f>IF(M20="Yes","🔴 BOTTOM",IF(M20="No","✓ Cleared",IF(Q20="MIN",IF(AND(ISNUMBER(F20),ISNUMBER(H20)),IF(H20&lt;F20*'Master Dashboard'!$B$4,"🔴 LOW",""),""),IF(Q20="MAX",IF(AND(ISNUMBER(F20),ISNUMBER(H20)),IF(H20&gt;F20,"🔴 HIGH",""),""),""))))</f>
        <v/>
      </c>
      <c r="M20" s="54" t="s">
        <v>82</v>
      </c>
      <c r="N20" s="59" t="s">
        <v>83</v>
      </c>
      <c r="O20" s="60" t="s">
        <v>84</v>
      </c>
      <c r="P20" s="61" t="s">
        <v>456</v>
      </c>
      <c r="Q20" s="60" t="s">
        <v>110</v>
      </c>
      <c r="R20" s="60" t="s">
        <v>457</v>
      </c>
    </row>
    <row r="21" ht="15.75" customHeight="1">
      <c r="A21" s="48"/>
      <c r="B21" s="49"/>
      <c r="C21" s="50" t="s">
        <v>458</v>
      </c>
      <c r="D21" s="51" t="s">
        <v>449</v>
      </c>
      <c r="E21" s="62">
        <v>26.0</v>
      </c>
      <c r="F21" s="63">
        <v>1.0</v>
      </c>
      <c r="G21" s="54"/>
      <c r="H21" s="55">
        <v>0.0</v>
      </c>
      <c r="I21" s="56" t="str">
        <f t="shared" si="3"/>
        <v/>
      </c>
      <c r="J21" s="57">
        <f t="shared" si="4"/>
        <v>0</v>
      </c>
      <c r="K21" s="54" t="s">
        <v>9</v>
      </c>
      <c r="L21" s="58" t="str">
        <f>IF(M21="Yes","🔴 BOTTOM",IF(M21="No","✓ Cleared",IF(Q21="MIN",IF(AND(ISNUMBER(F21),ISNUMBER(H21)),IF(H21&lt;F21*'Master Dashboard'!$B$4,"🔴 LOW",""),""),IF(Q21="MAX",IF(AND(ISNUMBER(F21),ISNUMBER(H21)),IF(H21&gt;F21,"🔴 HIGH",""),""),""))))</f>
        <v>🔴 LOW</v>
      </c>
      <c r="M21" s="54" t="s">
        <v>82</v>
      </c>
      <c r="N21" s="59" t="s">
        <v>83</v>
      </c>
      <c r="O21" s="60" t="s">
        <v>84</v>
      </c>
      <c r="P21" s="61" t="s">
        <v>459</v>
      </c>
      <c r="Q21" s="60" t="s">
        <v>110</v>
      </c>
      <c r="R21" s="60" t="s">
        <v>460</v>
      </c>
    </row>
    <row r="22" ht="15.75" customHeight="1">
      <c r="A22" s="48"/>
      <c r="B22" s="49"/>
      <c r="C22" s="50" t="s">
        <v>461</v>
      </c>
      <c r="D22" s="51" t="s">
        <v>449</v>
      </c>
      <c r="E22" s="62">
        <v>76.0</v>
      </c>
      <c r="F22" s="63">
        <v>1.0</v>
      </c>
      <c r="G22" s="54"/>
      <c r="H22" s="55">
        <v>0.0</v>
      </c>
      <c r="I22" s="56" t="str">
        <f t="shared" si="3"/>
        <v/>
      </c>
      <c r="J22" s="57">
        <f t="shared" si="4"/>
        <v>0</v>
      </c>
      <c r="K22" s="54" t="s">
        <v>9</v>
      </c>
      <c r="L22" s="58" t="str">
        <f>IF(M22="Yes","🔴 BOTTOM",IF(M22="No","✓ Cleared",IF(Q22="MIN",IF(AND(ISNUMBER(F22),ISNUMBER(H22)),IF(H22&lt;F22*'Master Dashboard'!$B$4,"🔴 LOW",""),""),IF(Q22="MAX",IF(AND(ISNUMBER(F22),ISNUMBER(H22)),IF(H22&gt;F22,"🔴 HIGH",""),""),""))))</f>
        <v>🔴 LOW</v>
      </c>
      <c r="M22" s="54" t="s">
        <v>82</v>
      </c>
      <c r="N22" s="59" t="s">
        <v>83</v>
      </c>
      <c r="O22" s="60" t="s">
        <v>84</v>
      </c>
      <c r="P22" s="61" t="s">
        <v>462</v>
      </c>
      <c r="Q22" s="60" t="s">
        <v>110</v>
      </c>
      <c r="R22" s="60" t="s">
        <v>463</v>
      </c>
    </row>
    <row r="23" ht="15.75" customHeight="1">
      <c r="A23" s="48"/>
      <c r="B23" s="49"/>
      <c r="C23" s="50" t="s">
        <v>464</v>
      </c>
      <c r="D23" s="51" t="s">
        <v>449</v>
      </c>
      <c r="E23" s="62">
        <v>48.0</v>
      </c>
      <c r="F23" s="63">
        <v>1.0</v>
      </c>
      <c r="G23" s="54"/>
      <c r="H23" s="55">
        <v>1.0</v>
      </c>
      <c r="I23" s="56" t="str">
        <f t="shared" si="3"/>
        <v/>
      </c>
      <c r="J23" s="57">
        <f t="shared" si="4"/>
        <v>0.02083333333</v>
      </c>
      <c r="K23" s="54" t="s">
        <v>9</v>
      </c>
      <c r="L23" s="58" t="str">
        <f>IF(M23="Yes","🔴 BOTTOM",IF(M23="No","✓ Cleared",IF(Q23="MIN",IF(AND(ISNUMBER(F23),ISNUMBER(H23)),IF(H23&lt;F23*'Master Dashboard'!$B$4,"🔴 LOW",""),""),IF(Q23="MAX",IF(AND(ISNUMBER(F23),ISNUMBER(H23)),IF(H23&gt;F23,"🔴 HIGH",""),""),""))))</f>
        <v/>
      </c>
      <c r="M23" s="54" t="s">
        <v>82</v>
      </c>
      <c r="N23" s="59" t="s">
        <v>83</v>
      </c>
      <c r="O23" s="60" t="s">
        <v>84</v>
      </c>
      <c r="P23" s="61" t="s">
        <v>465</v>
      </c>
      <c r="Q23" s="60" t="s">
        <v>110</v>
      </c>
      <c r="R23" s="60" t="s">
        <v>466</v>
      </c>
    </row>
    <row r="24" ht="15.75" customHeight="1">
      <c r="A24" s="48"/>
      <c r="B24" s="49"/>
      <c r="C24" s="50" t="s">
        <v>467</v>
      </c>
      <c r="D24" s="51" t="s">
        <v>449</v>
      </c>
      <c r="E24" s="62">
        <v>33.0</v>
      </c>
      <c r="F24" s="63">
        <v>1.0</v>
      </c>
      <c r="G24" s="54"/>
      <c r="H24" s="55">
        <v>19.0</v>
      </c>
      <c r="I24" s="56" t="str">
        <f t="shared" si="3"/>
        <v/>
      </c>
      <c r="J24" s="57">
        <f t="shared" si="4"/>
        <v>0.5757575758</v>
      </c>
      <c r="K24" s="54" t="s">
        <v>9</v>
      </c>
      <c r="L24" s="58" t="str">
        <f>IF(M24="Yes","🔴 BOTTOM",IF(M24="No","✓ Cleared",IF(Q24="MIN",IF(AND(ISNUMBER(F24),ISNUMBER(H24)),IF(H24&lt;F24*'Master Dashboard'!$B$4,"🔴 LOW",""),""),IF(Q24="MAX",IF(AND(ISNUMBER(F24),ISNUMBER(H24)),IF(H24&gt;F24,"🔴 HIGH",""),""),""))))</f>
        <v/>
      </c>
      <c r="M24" s="54" t="s">
        <v>82</v>
      </c>
      <c r="N24" s="59" t="s">
        <v>83</v>
      </c>
      <c r="O24" s="60" t="s">
        <v>84</v>
      </c>
      <c r="P24" s="61" t="s">
        <v>468</v>
      </c>
      <c r="Q24" s="60" t="s">
        <v>110</v>
      </c>
      <c r="R24" s="60" t="s">
        <v>469</v>
      </c>
    </row>
    <row r="25" ht="15.75" customHeight="1">
      <c r="A25" s="48"/>
      <c r="B25" s="49"/>
      <c r="C25" s="50" t="s">
        <v>470</v>
      </c>
      <c r="D25" s="51" t="s">
        <v>449</v>
      </c>
      <c r="E25" s="62">
        <v>21.0</v>
      </c>
      <c r="F25" s="63">
        <v>1.0</v>
      </c>
      <c r="G25" s="54"/>
      <c r="H25" s="55">
        <v>21.0</v>
      </c>
      <c r="I25" s="56" t="str">
        <f t="shared" si="3"/>
        <v/>
      </c>
      <c r="J25" s="57">
        <f t="shared" si="4"/>
        <v>1</v>
      </c>
      <c r="K25" s="54" t="s">
        <v>9</v>
      </c>
      <c r="L25" s="58" t="str">
        <f>IF(M25="Yes","🔴 BOTTOM",IF(M25="No","✓ Cleared",IF(Q25="MIN",IF(AND(ISNUMBER(F25),ISNUMBER(H25)),IF(H25&lt;F25*'Master Dashboard'!$B$4,"🔴 LOW",""),""),IF(Q25="MAX",IF(AND(ISNUMBER(F25),ISNUMBER(H25)),IF(H25&gt;F25,"🔴 HIGH",""),""),""))))</f>
        <v/>
      </c>
      <c r="M25" s="54" t="s">
        <v>82</v>
      </c>
      <c r="N25" s="59" t="s">
        <v>83</v>
      </c>
      <c r="O25" s="60" t="s">
        <v>84</v>
      </c>
      <c r="P25" s="61" t="s">
        <v>471</v>
      </c>
      <c r="Q25" s="60" t="s">
        <v>110</v>
      </c>
      <c r="R25" s="60" t="s">
        <v>472</v>
      </c>
    </row>
    <row r="26" ht="15.75" customHeight="1">
      <c r="A26" s="48"/>
      <c r="B26" s="49"/>
      <c r="C26" s="50" t="s">
        <v>473</v>
      </c>
      <c r="D26" s="51" t="s">
        <v>449</v>
      </c>
      <c r="E26" s="62">
        <v>34.0</v>
      </c>
      <c r="F26" s="63">
        <v>1.0</v>
      </c>
      <c r="G26" s="54"/>
      <c r="H26" s="55">
        <v>17.0</v>
      </c>
      <c r="I26" s="56" t="str">
        <f t="shared" si="3"/>
        <v/>
      </c>
      <c r="J26" s="57">
        <f t="shared" si="4"/>
        <v>0.5</v>
      </c>
      <c r="K26" s="54" t="s">
        <v>9</v>
      </c>
      <c r="L26" s="58" t="str">
        <f>IF(M26="Yes","🔴 BOTTOM",IF(M26="No","✓ Cleared",IF(Q26="MIN",IF(AND(ISNUMBER(F26),ISNUMBER(H26)),IF(H26&lt;F26*'Master Dashboard'!$B$4,"🔴 LOW",""),""),IF(Q26="MAX",IF(AND(ISNUMBER(F26),ISNUMBER(H26)),IF(H26&gt;F26,"🔴 HIGH",""),""),""))))</f>
        <v/>
      </c>
      <c r="M26" s="54" t="s">
        <v>82</v>
      </c>
      <c r="N26" s="59" t="s">
        <v>83</v>
      </c>
      <c r="O26" s="60" t="s">
        <v>84</v>
      </c>
      <c r="P26" s="61" t="s">
        <v>453</v>
      </c>
      <c r="Q26" s="60" t="s">
        <v>110</v>
      </c>
      <c r="R26" s="60" t="s">
        <v>474</v>
      </c>
    </row>
    <row r="27" ht="15.75" customHeight="1">
      <c r="A27" s="48"/>
      <c r="B27" s="49"/>
      <c r="C27" s="50" t="s">
        <v>475</v>
      </c>
      <c r="D27" s="51" t="s">
        <v>449</v>
      </c>
      <c r="E27" s="62">
        <v>24.0</v>
      </c>
      <c r="F27" s="63">
        <v>1.0</v>
      </c>
      <c r="G27" s="54"/>
      <c r="H27" s="55">
        <v>10.0</v>
      </c>
      <c r="I27" s="56" t="str">
        <f t="shared" si="3"/>
        <v/>
      </c>
      <c r="J27" s="57">
        <f t="shared" si="4"/>
        <v>0.4166666667</v>
      </c>
      <c r="K27" s="54" t="s">
        <v>9</v>
      </c>
      <c r="L27" s="58" t="str">
        <f>IF(M27="Yes","🔴 BOTTOM",IF(M27="No","✓ Cleared",IF(Q27="MIN",IF(AND(ISNUMBER(F27),ISNUMBER(H27)),IF(H27&lt;F27*'Master Dashboard'!$B$4,"🔴 LOW",""),""),IF(Q27="MAX",IF(AND(ISNUMBER(F27),ISNUMBER(H27)),IF(H27&gt;F27,"🔴 HIGH",""),""),""))))</f>
        <v/>
      </c>
      <c r="M27" s="54" t="s">
        <v>82</v>
      </c>
      <c r="N27" s="59" t="s">
        <v>83</v>
      </c>
      <c r="O27" s="60" t="s">
        <v>84</v>
      </c>
      <c r="P27" s="61" t="s">
        <v>476</v>
      </c>
      <c r="Q27" s="60" t="s">
        <v>110</v>
      </c>
      <c r="R27" s="60" t="s">
        <v>477</v>
      </c>
    </row>
    <row r="28" ht="15.75" customHeight="1">
      <c r="A28" s="48"/>
      <c r="B28" s="49"/>
      <c r="C28" s="50" t="s">
        <v>478</v>
      </c>
      <c r="D28" s="51" t="s">
        <v>449</v>
      </c>
      <c r="E28" s="62">
        <v>27.0</v>
      </c>
      <c r="F28" s="63">
        <v>1.0</v>
      </c>
      <c r="G28" s="54"/>
      <c r="H28" s="55">
        <v>0.0</v>
      </c>
      <c r="I28" s="56" t="str">
        <f t="shared" si="3"/>
        <v/>
      </c>
      <c r="J28" s="57">
        <f t="shared" si="4"/>
        <v>0</v>
      </c>
      <c r="K28" s="54" t="s">
        <v>9</v>
      </c>
      <c r="L28" s="58" t="str">
        <f>IF(M28="Yes","🔴 BOTTOM",IF(M28="No","✓ Cleared",IF(Q28="MIN",IF(AND(ISNUMBER(F28),ISNUMBER(H28)),IF(H28&lt;F28*'Master Dashboard'!$B$4,"🔴 LOW",""),""),IF(Q28="MAX",IF(AND(ISNUMBER(F28),ISNUMBER(H28)),IF(H28&gt;F28,"🔴 HIGH",""),""),""))))</f>
        <v>🔴 LOW</v>
      </c>
      <c r="M28" s="54" t="s">
        <v>82</v>
      </c>
      <c r="N28" s="59" t="s">
        <v>83</v>
      </c>
      <c r="O28" s="60" t="s">
        <v>84</v>
      </c>
      <c r="P28" s="61" t="s">
        <v>479</v>
      </c>
      <c r="Q28" s="60" t="s">
        <v>110</v>
      </c>
      <c r="R28" s="60" t="s">
        <v>480</v>
      </c>
    </row>
    <row r="29" ht="15.75" customHeight="1">
      <c r="A29" s="48"/>
      <c r="B29" s="49"/>
      <c r="C29" s="50" t="s">
        <v>481</v>
      </c>
      <c r="D29" s="51" t="s">
        <v>449</v>
      </c>
      <c r="E29" s="62">
        <v>13.0</v>
      </c>
      <c r="F29" s="63">
        <v>1.0</v>
      </c>
      <c r="G29" s="54"/>
      <c r="H29" s="55">
        <v>1.0</v>
      </c>
      <c r="I29" s="56" t="str">
        <f t="shared" si="3"/>
        <v/>
      </c>
      <c r="J29" s="57">
        <f t="shared" si="4"/>
        <v>0.07692307692</v>
      </c>
      <c r="K29" s="54" t="s">
        <v>9</v>
      </c>
      <c r="L29" s="58" t="str">
        <f>IF(M29="Yes","🔴 BOTTOM",IF(M29="No","✓ Cleared",IF(Q29="MIN",IF(AND(ISNUMBER(F29),ISNUMBER(H29)),IF(H29&lt;F29*'Master Dashboard'!$B$4,"🔴 LOW",""),""),IF(Q29="MAX",IF(AND(ISNUMBER(F29),ISNUMBER(H29)),IF(H29&gt;F29,"🔴 HIGH",""),""),""))))</f>
        <v/>
      </c>
      <c r="M29" s="54" t="s">
        <v>82</v>
      </c>
      <c r="N29" s="59" t="s">
        <v>83</v>
      </c>
      <c r="O29" s="60" t="s">
        <v>84</v>
      </c>
      <c r="P29" s="61" t="s">
        <v>482</v>
      </c>
      <c r="Q29" s="60" t="s">
        <v>110</v>
      </c>
      <c r="R29" s="60" t="s">
        <v>483</v>
      </c>
    </row>
    <row r="30" ht="15.75" customHeight="1">
      <c r="A30" s="48"/>
      <c r="B30" s="49"/>
      <c r="C30" s="50" t="s">
        <v>484</v>
      </c>
      <c r="D30" s="51" t="s">
        <v>449</v>
      </c>
      <c r="E30" s="62">
        <v>39.0</v>
      </c>
      <c r="F30" s="63">
        <v>1.0</v>
      </c>
      <c r="G30" s="54"/>
      <c r="H30" s="55">
        <v>0.0</v>
      </c>
      <c r="I30" s="56" t="str">
        <f t="shared" si="3"/>
        <v/>
      </c>
      <c r="J30" s="57">
        <f t="shared" si="4"/>
        <v>0</v>
      </c>
      <c r="K30" s="54" t="s">
        <v>9</v>
      </c>
      <c r="L30" s="58" t="str">
        <f>IF(M30="Yes","🔴 BOTTOM",IF(M30="No","✓ Cleared",IF(Q30="MIN",IF(AND(ISNUMBER(F30),ISNUMBER(H30)),IF(H30&lt;F30*'Master Dashboard'!$B$4,"🔴 LOW",""),""),IF(Q30="MAX",IF(AND(ISNUMBER(F30),ISNUMBER(H30)),IF(H30&gt;F30,"🔴 HIGH",""),""),""))))</f>
        <v>🔴 LOW</v>
      </c>
      <c r="M30" s="54" t="s">
        <v>82</v>
      </c>
      <c r="N30" s="59" t="s">
        <v>83</v>
      </c>
      <c r="O30" s="60" t="s">
        <v>84</v>
      </c>
      <c r="P30" s="61" t="s">
        <v>485</v>
      </c>
      <c r="Q30" s="60" t="s">
        <v>110</v>
      </c>
      <c r="R30" s="60" t="s">
        <v>486</v>
      </c>
    </row>
    <row r="31" ht="15.75" customHeight="1">
      <c r="A31" s="35">
        <v>3.0</v>
      </c>
      <c r="B31" s="36" t="s">
        <v>487</v>
      </c>
      <c r="C31" s="37" t="s">
        <v>438</v>
      </c>
      <c r="D31" s="38"/>
      <c r="E31" s="39"/>
      <c r="F31" s="40"/>
      <c r="G31" s="41"/>
      <c r="H31" s="42">
        <v>400.0</v>
      </c>
      <c r="I31" s="43"/>
      <c r="J31" s="43"/>
      <c r="K31" s="43"/>
      <c r="L31" s="43"/>
      <c r="M31" s="43"/>
      <c r="N31" s="43"/>
      <c r="O31" s="43"/>
      <c r="P31" s="44" t="s">
        <v>488</v>
      </c>
      <c r="Q31" s="45"/>
      <c r="R31" s="45"/>
    </row>
    <row r="32" ht="15.75" customHeight="1">
      <c r="A32" s="46"/>
      <c r="B32" s="47"/>
      <c r="C32" s="37" t="s">
        <v>440</v>
      </c>
      <c r="D32" s="38"/>
      <c r="E32" s="39"/>
      <c r="F32" s="40"/>
      <c r="G32" s="41"/>
      <c r="H32" s="42">
        <v>90.0</v>
      </c>
      <c r="I32" s="43"/>
      <c r="J32" s="43"/>
      <c r="K32" s="43"/>
      <c r="L32" s="43"/>
      <c r="M32" s="43"/>
      <c r="N32" s="43"/>
      <c r="O32" s="43"/>
      <c r="P32" s="44" t="s">
        <v>489</v>
      </c>
      <c r="Q32" s="45"/>
      <c r="R32" s="45"/>
    </row>
    <row r="33" ht="15.75" customHeight="1">
      <c r="A33" s="46"/>
      <c r="B33" s="47"/>
      <c r="C33" s="37" t="s">
        <v>442</v>
      </c>
      <c r="D33" s="38"/>
      <c r="E33" s="39"/>
      <c r="F33" s="40"/>
      <c r="G33" s="41"/>
      <c r="H33" s="42">
        <v>79.0</v>
      </c>
      <c r="I33" s="43"/>
      <c r="J33" s="43"/>
      <c r="K33" s="43"/>
      <c r="L33" s="43"/>
      <c r="M33" s="43"/>
      <c r="N33" s="43"/>
      <c r="O33" s="43"/>
      <c r="P33" s="44" t="s">
        <v>443</v>
      </c>
      <c r="Q33" s="45"/>
      <c r="R33" s="45"/>
    </row>
    <row r="34" ht="15.75" customHeight="1">
      <c r="A34" s="46"/>
      <c r="B34" s="47"/>
      <c r="C34" s="37" t="s">
        <v>444</v>
      </c>
      <c r="D34" s="38"/>
      <c r="E34" s="39"/>
      <c r="F34" s="40"/>
      <c r="G34" s="41"/>
      <c r="H34" s="42">
        <v>11.0</v>
      </c>
      <c r="I34" s="43"/>
      <c r="J34" s="43"/>
      <c r="K34" s="43"/>
      <c r="L34" s="43"/>
      <c r="M34" s="43"/>
      <c r="N34" s="43"/>
      <c r="O34" s="43"/>
      <c r="P34" s="44" t="s">
        <v>445</v>
      </c>
      <c r="Q34" s="45"/>
      <c r="R34" s="45"/>
    </row>
    <row r="35" ht="15.75" customHeight="1">
      <c r="A35" s="46"/>
      <c r="B35" s="47"/>
      <c r="C35" s="37" t="s">
        <v>446</v>
      </c>
      <c r="D35" s="38"/>
      <c r="E35" s="39"/>
      <c r="F35" s="40"/>
      <c r="G35" s="41"/>
      <c r="H35" s="42">
        <v>310.0</v>
      </c>
      <c r="I35" s="43"/>
      <c r="J35" s="43"/>
      <c r="K35" s="43"/>
      <c r="L35" s="43"/>
      <c r="M35" s="43"/>
      <c r="N35" s="43"/>
      <c r="O35" s="43"/>
      <c r="P35" s="44" t="s">
        <v>490</v>
      </c>
      <c r="Q35" s="45"/>
      <c r="R35" s="45"/>
    </row>
    <row r="36" ht="15.75" customHeight="1">
      <c r="A36" s="48"/>
      <c r="B36" s="49"/>
      <c r="C36" s="50" t="s">
        <v>491</v>
      </c>
      <c r="D36" s="51" t="s">
        <v>449</v>
      </c>
      <c r="E36" s="62">
        <v>400.0</v>
      </c>
      <c r="F36" s="63">
        <v>400.0</v>
      </c>
      <c r="G36" s="54"/>
      <c r="H36" s="55">
        <v>11.0</v>
      </c>
      <c r="I36" s="56" t="str">
        <f t="shared" ref="I36:I49" si="5">IF(AND(ISNUMBER(G36),ISNUMBER(H36)),H36-G36,"")</f>
        <v/>
      </c>
      <c r="J36" s="57">
        <f t="shared" ref="J36:J49" si="6">IF(AND(ISNUMBER(E36),E36&gt;0,ISNUMBER(H36)),H36/E36,"")</f>
        <v>0.0275</v>
      </c>
      <c r="K36" s="54" t="s">
        <v>10</v>
      </c>
      <c r="L36" s="58" t="str">
        <f>IF(M36="Yes","🔴 BOTTOM",IF(M36="No","✓ Cleared",IF(Q36="MIN",IF(AND(ISNUMBER(F36),ISNUMBER(H36)),IF(H36&lt;F36*'Master Dashboard'!$B$4,"🔴 LOW",""),""),IF(Q36="MAX",IF(AND(ISNUMBER(F36),ISNUMBER(H36)),IF(H36&gt;F36,"🔴 HIGH",""),""),""))))</f>
        <v>🔴 LOW</v>
      </c>
      <c r="M36" s="54" t="s">
        <v>82</v>
      </c>
      <c r="N36" s="59" t="s">
        <v>83</v>
      </c>
      <c r="O36" s="60" t="s">
        <v>84</v>
      </c>
      <c r="P36" s="61" t="s">
        <v>492</v>
      </c>
      <c r="Q36" s="60" t="s">
        <v>110</v>
      </c>
      <c r="R36" s="60" t="s">
        <v>493</v>
      </c>
    </row>
    <row r="37" ht="15.75" customHeight="1">
      <c r="A37" s="48"/>
      <c r="B37" s="49"/>
      <c r="C37" s="50" t="s">
        <v>494</v>
      </c>
      <c r="D37" s="51" t="s">
        <v>449</v>
      </c>
      <c r="E37" s="62">
        <v>0.0</v>
      </c>
      <c r="F37" s="63">
        <v>0.0</v>
      </c>
      <c r="G37" s="54"/>
      <c r="H37" s="55">
        <v>310.0</v>
      </c>
      <c r="I37" s="56" t="str">
        <f t="shared" si="5"/>
        <v/>
      </c>
      <c r="J37" s="57" t="str">
        <f t="shared" si="6"/>
        <v/>
      </c>
      <c r="K37" s="54" t="s">
        <v>10</v>
      </c>
      <c r="L37" s="58" t="str">
        <f>IF(M37="Yes","🔴 BOTTOM",IF(M37="No","✓ Cleared",IF(Q37="MIN",IF(AND(ISNUMBER(F37),ISNUMBER(H37)),IF(H37&lt;F37*'Master Dashboard'!$B$4,"🔴 LOW",""),""),IF(Q37="MAX",IF(AND(ISNUMBER(F37),ISNUMBER(H37)),IF(H37&gt;F37,"🔴 HIGH",""),""),""))))</f>
        <v>🔴 HIGH</v>
      </c>
      <c r="M37" s="54" t="s">
        <v>82</v>
      </c>
      <c r="N37" s="59" t="s">
        <v>83</v>
      </c>
      <c r="O37" s="60" t="s">
        <v>84</v>
      </c>
      <c r="P37" s="61" t="s">
        <v>495</v>
      </c>
      <c r="Q37" s="60" t="s">
        <v>114</v>
      </c>
      <c r="R37" s="60" t="s">
        <v>496</v>
      </c>
    </row>
    <row r="38" ht="15.75" customHeight="1">
      <c r="A38" s="48"/>
      <c r="B38" s="49"/>
      <c r="C38" s="50" t="s">
        <v>497</v>
      </c>
      <c r="D38" s="51" t="s">
        <v>449</v>
      </c>
      <c r="E38" s="62">
        <v>0.0</v>
      </c>
      <c r="F38" s="63">
        <v>20.0</v>
      </c>
      <c r="G38" s="54"/>
      <c r="H38" s="55">
        <v>73.0</v>
      </c>
      <c r="I38" s="56" t="str">
        <f t="shared" si="5"/>
        <v/>
      </c>
      <c r="J38" s="57" t="str">
        <f t="shared" si="6"/>
        <v/>
      </c>
      <c r="K38" s="54" t="s">
        <v>10</v>
      </c>
      <c r="L38" s="58" t="str">
        <f>IF(M38="Yes","🔴 BOTTOM",IF(M38="No","✓ Cleared",IF(Q38="MIN",IF(AND(ISNUMBER(F38),ISNUMBER(H38)),IF(H38&lt;F38*'Master Dashboard'!$B$4,"🔴 LOW",""),""),IF(Q38="MAX",IF(AND(ISNUMBER(F38),ISNUMBER(H38)),IF(H38&gt;F38,"🔴 HIGH",""),""),""))))</f>
        <v>🔴 HIGH</v>
      </c>
      <c r="M38" s="54" t="s">
        <v>82</v>
      </c>
      <c r="N38" s="59" t="s">
        <v>83</v>
      </c>
      <c r="O38" s="60" t="s">
        <v>84</v>
      </c>
      <c r="P38" s="61" t="s">
        <v>498</v>
      </c>
      <c r="Q38" s="60" t="s">
        <v>114</v>
      </c>
      <c r="R38" s="60" t="s">
        <v>499</v>
      </c>
    </row>
    <row r="39" ht="15.75" customHeight="1">
      <c r="A39" s="48"/>
      <c r="B39" s="49"/>
      <c r="C39" s="50" t="s">
        <v>500</v>
      </c>
      <c r="D39" s="51" t="s">
        <v>449</v>
      </c>
      <c r="E39" s="62">
        <v>0.0</v>
      </c>
      <c r="F39" s="63">
        <v>20.0</v>
      </c>
      <c r="G39" s="54"/>
      <c r="H39" s="55">
        <v>43.0</v>
      </c>
      <c r="I39" s="56" t="str">
        <f t="shared" si="5"/>
        <v/>
      </c>
      <c r="J39" s="57" t="str">
        <f t="shared" si="6"/>
        <v/>
      </c>
      <c r="K39" s="54" t="s">
        <v>10</v>
      </c>
      <c r="L39" s="58" t="str">
        <f>IF(M39="Yes","🔴 BOTTOM",IF(M39="No","✓ Cleared",IF(Q39="MIN",IF(AND(ISNUMBER(F39),ISNUMBER(H39)),IF(H39&lt;F39*'Master Dashboard'!$B$4,"🔴 LOW",""),""),IF(Q39="MAX",IF(AND(ISNUMBER(F39),ISNUMBER(H39)),IF(H39&gt;F39,"🔴 HIGH",""),""),""))))</f>
        <v>🔴 HIGH</v>
      </c>
      <c r="M39" s="54" t="s">
        <v>82</v>
      </c>
      <c r="N39" s="59" t="s">
        <v>83</v>
      </c>
      <c r="O39" s="60" t="s">
        <v>84</v>
      </c>
      <c r="P39" s="61" t="s">
        <v>501</v>
      </c>
      <c r="Q39" s="60" t="s">
        <v>114</v>
      </c>
      <c r="R39" s="60" t="s">
        <v>502</v>
      </c>
    </row>
    <row r="40" ht="15.75" customHeight="1">
      <c r="A40" s="48"/>
      <c r="B40" s="49"/>
      <c r="C40" s="50" t="s">
        <v>503</v>
      </c>
      <c r="D40" s="51" t="s">
        <v>449</v>
      </c>
      <c r="E40" s="62">
        <v>0.0</v>
      </c>
      <c r="F40" s="63">
        <v>20.0</v>
      </c>
      <c r="G40" s="54"/>
      <c r="H40" s="55">
        <v>28.0</v>
      </c>
      <c r="I40" s="56" t="str">
        <f t="shared" si="5"/>
        <v/>
      </c>
      <c r="J40" s="57" t="str">
        <f t="shared" si="6"/>
        <v/>
      </c>
      <c r="K40" s="54" t="s">
        <v>10</v>
      </c>
      <c r="L40" s="58" t="str">
        <f>IF(M40="Yes","🔴 BOTTOM",IF(M40="No","✓ Cleared",IF(Q40="MIN",IF(AND(ISNUMBER(F40),ISNUMBER(H40)),IF(H40&lt;F40*'Master Dashboard'!$B$4,"🔴 LOW",""),""),IF(Q40="MAX",IF(AND(ISNUMBER(F40),ISNUMBER(H40)),IF(H40&gt;F40,"🔴 HIGH",""),""),""))))</f>
        <v>🔴 HIGH</v>
      </c>
      <c r="M40" s="54" t="s">
        <v>82</v>
      </c>
      <c r="N40" s="59" t="s">
        <v>83</v>
      </c>
      <c r="O40" s="60" t="s">
        <v>84</v>
      </c>
      <c r="P40" s="61" t="s">
        <v>504</v>
      </c>
      <c r="Q40" s="60" t="s">
        <v>114</v>
      </c>
      <c r="R40" s="60" t="s">
        <v>505</v>
      </c>
    </row>
    <row r="41" ht="15.75" customHeight="1">
      <c r="A41" s="48"/>
      <c r="B41" s="49"/>
      <c r="C41" s="50" t="s">
        <v>506</v>
      </c>
      <c r="D41" s="51" t="s">
        <v>449</v>
      </c>
      <c r="E41" s="62">
        <v>0.0</v>
      </c>
      <c r="F41" s="63">
        <v>20.0</v>
      </c>
      <c r="G41" s="54"/>
      <c r="H41" s="55">
        <v>30.0</v>
      </c>
      <c r="I41" s="56" t="str">
        <f t="shared" si="5"/>
        <v/>
      </c>
      <c r="J41" s="57" t="str">
        <f t="shared" si="6"/>
        <v/>
      </c>
      <c r="K41" s="54" t="s">
        <v>10</v>
      </c>
      <c r="L41" s="58" t="str">
        <f>IF(M41="Yes","🔴 BOTTOM",IF(M41="No","✓ Cleared",IF(Q41="MIN",IF(AND(ISNUMBER(F41),ISNUMBER(H41)),IF(H41&lt;F41*'Master Dashboard'!$B$4,"🔴 LOW",""),""),IF(Q41="MAX",IF(AND(ISNUMBER(F41),ISNUMBER(H41)),IF(H41&gt;F41,"🔴 HIGH",""),""),""))))</f>
        <v>🔴 HIGH</v>
      </c>
      <c r="M41" s="54" t="s">
        <v>82</v>
      </c>
      <c r="N41" s="59" t="s">
        <v>83</v>
      </c>
      <c r="O41" s="60" t="s">
        <v>84</v>
      </c>
      <c r="P41" s="61" t="s">
        <v>507</v>
      </c>
      <c r="Q41" s="60" t="s">
        <v>114</v>
      </c>
      <c r="R41" s="60" t="s">
        <v>508</v>
      </c>
    </row>
    <row r="42" ht="15.75" customHeight="1">
      <c r="A42" s="48"/>
      <c r="B42" s="49"/>
      <c r="C42" s="50" t="s">
        <v>509</v>
      </c>
      <c r="D42" s="51" t="s">
        <v>449</v>
      </c>
      <c r="E42" s="62">
        <v>0.0</v>
      </c>
      <c r="F42" s="63">
        <v>20.0</v>
      </c>
      <c r="G42" s="54"/>
      <c r="H42" s="55">
        <v>21.0</v>
      </c>
      <c r="I42" s="56" t="str">
        <f t="shared" si="5"/>
        <v/>
      </c>
      <c r="J42" s="57" t="str">
        <f t="shared" si="6"/>
        <v/>
      </c>
      <c r="K42" s="54" t="s">
        <v>10</v>
      </c>
      <c r="L42" s="58" t="str">
        <f>IF(M42="Yes","🔴 BOTTOM",IF(M42="No","✓ Cleared",IF(Q42="MIN",IF(AND(ISNUMBER(F42),ISNUMBER(H42)),IF(H42&lt;F42*'Master Dashboard'!$B$4,"🔴 LOW",""),""),IF(Q42="MAX",IF(AND(ISNUMBER(F42),ISNUMBER(H42)),IF(H42&gt;F42,"🔴 HIGH",""),""),""))))</f>
        <v>🔴 HIGH</v>
      </c>
      <c r="M42" s="54" t="s">
        <v>82</v>
      </c>
      <c r="N42" s="59" t="s">
        <v>83</v>
      </c>
      <c r="O42" s="60" t="s">
        <v>84</v>
      </c>
      <c r="P42" s="61" t="s">
        <v>510</v>
      </c>
      <c r="Q42" s="60" t="s">
        <v>114</v>
      </c>
      <c r="R42" s="60" t="s">
        <v>511</v>
      </c>
    </row>
    <row r="43" ht="15.75" customHeight="1">
      <c r="A43" s="48"/>
      <c r="B43" s="49"/>
      <c r="C43" s="50" t="s">
        <v>512</v>
      </c>
      <c r="D43" s="51" t="s">
        <v>449</v>
      </c>
      <c r="E43" s="62">
        <v>0.0</v>
      </c>
      <c r="F43" s="63">
        <v>20.0</v>
      </c>
      <c r="G43" s="54"/>
      <c r="H43" s="55">
        <v>19.0</v>
      </c>
      <c r="I43" s="56" t="str">
        <f t="shared" si="5"/>
        <v/>
      </c>
      <c r="J43" s="57" t="str">
        <f t="shared" si="6"/>
        <v/>
      </c>
      <c r="K43" s="54" t="s">
        <v>10</v>
      </c>
      <c r="L43" s="58" t="str">
        <f>IF(M43="Yes","🔴 BOTTOM",IF(M43="No","✓ Cleared",IF(Q43="MIN",IF(AND(ISNUMBER(F43),ISNUMBER(H43)),IF(H43&lt;F43*'Master Dashboard'!$B$4,"🔴 LOW",""),""),IF(Q43="MAX",IF(AND(ISNUMBER(F43),ISNUMBER(H43)),IF(H43&gt;F43,"🔴 HIGH",""),""),""))))</f>
        <v/>
      </c>
      <c r="M43" s="54" t="s">
        <v>82</v>
      </c>
      <c r="N43" s="59" t="s">
        <v>83</v>
      </c>
      <c r="O43" s="60" t="s">
        <v>84</v>
      </c>
      <c r="P43" s="61" t="s">
        <v>513</v>
      </c>
      <c r="Q43" s="60" t="s">
        <v>114</v>
      </c>
      <c r="R43" s="60" t="s">
        <v>514</v>
      </c>
    </row>
    <row r="44" ht="15.75" customHeight="1">
      <c r="A44" s="48"/>
      <c r="B44" s="49"/>
      <c r="C44" s="50" t="s">
        <v>515</v>
      </c>
      <c r="D44" s="51" t="s">
        <v>449</v>
      </c>
      <c r="E44" s="62">
        <v>0.0</v>
      </c>
      <c r="F44" s="63">
        <v>20.0</v>
      </c>
      <c r="G44" s="54"/>
      <c r="H44" s="55">
        <v>19.0</v>
      </c>
      <c r="I44" s="56" t="str">
        <f t="shared" si="5"/>
        <v/>
      </c>
      <c r="J44" s="57" t="str">
        <f t="shared" si="6"/>
        <v/>
      </c>
      <c r="K44" s="54" t="s">
        <v>10</v>
      </c>
      <c r="L44" s="58" t="str">
        <f>IF(M44="Yes","🔴 BOTTOM",IF(M44="No","✓ Cleared",IF(Q44="MIN",IF(AND(ISNUMBER(F44),ISNUMBER(H44)),IF(H44&lt;F44*'Master Dashboard'!$B$4,"🔴 LOW",""),""),IF(Q44="MAX",IF(AND(ISNUMBER(F44),ISNUMBER(H44)),IF(H44&gt;F44,"🔴 HIGH",""),""),""))))</f>
        <v/>
      </c>
      <c r="M44" s="54" t="s">
        <v>82</v>
      </c>
      <c r="N44" s="59" t="s">
        <v>83</v>
      </c>
      <c r="O44" s="60" t="s">
        <v>84</v>
      </c>
      <c r="P44" s="61" t="s">
        <v>516</v>
      </c>
      <c r="Q44" s="60" t="s">
        <v>114</v>
      </c>
      <c r="R44" s="60" t="s">
        <v>517</v>
      </c>
    </row>
    <row r="45" ht="15.75" customHeight="1">
      <c r="A45" s="48"/>
      <c r="B45" s="49"/>
      <c r="C45" s="50" t="s">
        <v>518</v>
      </c>
      <c r="D45" s="51" t="s">
        <v>449</v>
      </c>
      <c r="E45" s="62">
        <v>0.0</v>
      </c>
      <c r="F45" s="63">
        <v>20.0</v>
      </c>
      <c r="G45" s="54"/>
      <c r="H45" s="55">
        <v>16.0</v>
      </c>
      <c r="I45" s="56" t="str">
        <f t="shared" si="5"/>
        <v/>
      </c>
      <c r="J45" s="57" t="str">
        <f t="shared" si="6"/>
        <v/>
      </c>
      <c r="K45" s="54" t="s">
        <v>10</v>
      </c>
      <c r="L45" s="58" t="str">
        <f>IF(M45="Yes","🔴 BOTTOM",IF(M45="No","✓ Cleared",IF(Q45="MIN",IF(AND(ISNUMBER(F45),ISNUMBER(H45)),IF(H45&lt;F45*'Master Dashboard'!$B$4,"🔴 LOW",""),""),IF(Q45="MAX",IF(AND(ISNUMBER(F45),ISNUMBER(H45)),IF(H45&gt;F45,"🔴 HIGH",""),""),""))))</f>
        <v/>
      </c>
      <c r="M45" s="54" t="s">
        <v>82</v>
      </c>
      <c r="N45" s="59" t="s">
        <v>83</v>
      </c>
      <c r="O45" s="60" t="s">
        <v>84</v>
      </c>
      <c r="P45" s="61" t="s">
        <v>516</v>
      </c>
      <c r="Q45" s="60" t="s">
        <v>114</v>
      </c>
      <c r="R45" s="60" t="s">
        <v>519</v>
      </c>
    </row>
    <row r="46" ht="15.75" customHeight="1">
      <c r="A46" s="48"/>
      <c r="B46" s="49"/>
      <c r="C46" s="50" t="s">
        <v>520</v>
      </c>
      <c r="D46" s="51" t="s">
        <v>449</v>
      </c>
      <c r="E46" s="62">
        <v>0.0</v>
      </c>
      <c r="F46" s="63">
        <v>20.0</v>
      </c>
      <c r="G46" s="54"/>
      <c r="H46" s="55">
        <v>47.0</v>
      </c>
      <c r="I46" s="56" t="str">
        <f t="shared" si="5"/>
        <v/>
      </c>
      <c r="J46" s="57" t="str">
        <f t="shared" si="6"/>
        <v/>
      </c>
      <c r="K46" s="54" t="s">
        <v>10</v>
      </c>
      <c r="L46" s="58" t="str">
        <f>IF(M46="Yes","🔴 BOTTOM",IF(M46="No","✓ Cleared",IF(Q46="MIN",IF(AND(ISNUMBER(F46),ISNUMBER(H46)),IF(H46&lt;F46*'Master Dashboard'!$B$4,"🔴 LOW",""),""),IF(Q46="MAX",IF(AND(ISNUMBER(F46),ISNUMBER(H46)),IF(H46&gt;F46,"🔴 HIGH",""),""),""))))</f>
        <v>🔴 HIGH</v>
      </c>
      <c r="M46" s="54" t="s">
        <v>82</v>
      </c>
      <c r="N46" s="59" t="s">
        <v>83</v>
      </c>
      <c r="O46" s="60" t="s">
        <v>84</v>
      </c>
      <c r="P46" s="61" t="s">
        <v>521</v>
      </c>
      <c r="Q46" s="60" t="s">
        <v>114</v>
      </c>
      <c r="R46" s="60" t="s">
        <v>522</v>
      </c>
    </row>
    <row r="47" ht="15.75" customHeight="1">
      <c r="A47" s="48"/>
      <c r="B47" s="49"/>
      <c r="C47" s="50" t="s">
        <v>523</v>
      </c>
      <c r="D47" s="51" t="s">
        <v>449</v>
      </c>
      <c r="E47" s="62">
        <v>0.0</v>
      </c>
      <c r="F47" s="63">
        <v>20.0</v>
      </c>
      <c r="G47" s="54"/>
      <c r="H47" s="55">
        <v>4.0</v>
      </c>
      <c r="I47" s="56" t="str">
        <f t="shared" si="5"/>
        <v/>
      </c>
      <c r="J47" s="57" t="str">
        <f t="shared" si="6"/>
        <v/>
      </c>
      <c r="K47" s="54" t="s">
        <v>10</v>
      </c>
      <c r="L47" s="58" t="str">
        <f>IF(M47="Yes","🔴 BOTTOM",IF(M47="No","✓ Cleared",IF(Q47="MIN",IF(AND(ISNUMBER(F47),ISNUMBER(H47)),IF(H47&lt;F47*'Master Dashboard'!$B$4,"🔴 LOW",""),""),IF(Q47="MAX",IF(AND(ISNUMBER(F47),ISNUMBER(H47)),IF(H47&gt;F47,"🔴 HIGH",""),""),""))))</f>
        <v/>
      </c>
      <c r="M47" s="54" t="s">
        <v>82</v>
      </c>
      <c r="N47" s="59" t="s">
        <v>83</v>
      </c>
      <c r="O47" s="60" t="s">
        <v>84</v>
      </c>
      <c r="P47" s="61" t="s">
        <v>524</v>
      </c>
      <c r="Q47" s="60" t="s">
        <v>114</v>
      </c>
      <c r="R47" s="60" t="s">
        <v>525</v>
      </c>
    </row>
    <row r="48" ht="15.75" customHeight="1">
      <c r="A48" s="48"/>
      <c r="B48" s="49"/>
      <c r="C48" s="50" t="s">
        <v>526</v>
      </c>
      <c r="D48" s="51" t="s">
        <v>449</v>
      </c>
      <c r="E48" s="62">
        <v>0.0</v>
      </c>
      <c r="F48" s="63">
        <v>20.0</v>
      </c>
      <c r="G48" s="54"/>
      <c r="H48" s="55">
        <v>3.0</v>
      </c>
      <c r="I48" s="56" t="str">
        <f t="shared" si="5"/>
        <v/>
      </c>
      <c r="J48" s="57" t="str">
        <f t="shared" si="6"/>
        <v/>
      </c>
      <c r="K48" s="54" t="s">
        <v>10</v>
      </c>
      <c r="L48" s="58" t="str">
        <f>IF(M48="Yes","🔴 BOTTOM",IF(M48="No","✓ Cleared",IF(Q48="MIN",IF(AND(ISNUMBER(F48),ISNUMBER(H48)),IF(H48&lt;F48*'Master Dashboard'!$B$4,"🔴 LOW",""),""),IF(Q48="MAX",IF(AND(ISNUMBER(F48),ISNUMBER(H48)),IF(H48&gt;F48,"🔴 HIGH",""),""),""))))</f>
        <v/>
      </c>
      <c r="M48" s="54" t="s">
        <v>82</v>
      </c>
      <c r="N48" s="59" t="s">
        <v>83</v>
      </c>
      <c r="O48" s="60" t="s">
        <v>84</v>
      </c>
      <c r="P48" s="61" t="s">
        <v>527</v>
      </c>
      <c r="Q48" s="60" t="s">
        <v>114</v>
      </c>
      <c r="R48" s="60" t="s">
        <v>528</v>
      </c>
    </row>
    <row r="49" ht="15.75" customHeight="1">
      <c r="A49" s="48"/>
      <c r="B49" s="49"/>
      <c r="C49" s="50" t="s">
        <v>529</v>
      </c>
      <c r="D49" s="51" t="s">
        <v>449</v>
      </c>
      <c r="E49" s="62">
        <v>0.0</v>
      </c>
      <c r="F49" s="63">
        <v>20.0</v>
      </c>
      <c r="G49" s="54"/>
      <c r="H49" s="55">
        <v>6.0</v>
      </c>
      <c r="I49" s="56" t="str">
        <f t="shared" si="5"/>
        <v/>
      </c>
      <c r="J49" s="57" t="str">
        <f t="shared" si="6"/>
        <v/>
      </c>
      <c r="K49" s="54" t="s">
        <v>10</v>
      </c>
      <c r="L49" s="58" t="str">
        <f>IF(M49="Yes","🔴 BOTTOM",IF(M49="No","✓ Cleared",IF(Q49="MIN",IF(AND(ISNUMBER(F49),ISNUMBER(H49)),IF(H49&lt;F49*'Master Dashboard'!$B$4,"🔴 LOW",""),""),IF(Q49="MAX",IF(AND(ISNUMBER(F49),ISNUMBER(H49)),IF(H49&gt;F49,"🔴 HIGH",""),""),""))))</f>
        <v/>
      </c>
      <c r="M49" s="54" t="s">
        <v>82</v>
      </c>
      <c r="N49" s="59" t="s">
        <v>83</v>
      </c>
      <c r="O49" s="60" t="s">
        <v>84</v>
      </c>
      <c r="P49" s="61" t="s">
        <v>530</v>
      </c>
      <c r="Q49" s="60" t="s">
        <v>114</v>
      </c>
      <c r="R49" s="60" t="s">
        <v>531</v>
      </c>
    </row>
    <row r="50" ht="15.75" customHeight="1">
      <c r="A50" s="35">
        <v>4.0</v>
      </c>
      <c r="B50" s="36" t="s">
        <v>532</v>
      </c>
      <c r="C50" s="37" t="s">
        <v>533</v>
      </c>
      <c r="D50" s="38"/>
      <c r="E50" s="39"/>
      <c r="F50" s="40"/>
      <c r="G50" s="41"/>
      <c r="H50" s="72" t="s">
        <v>534</v>
      </c>
      <c r="I50" s="43"/>
      <c r="J50" s="43"/>
      <c r="K50" s="43"/>
      <c r="L50" s="43"/>
      <c r="M50" s="43"/>
      <c r="N50" s="43"/>
      <c r="O50" s="43"/>
      <c r="P50" s="44" t="s">
        <v>535</v>
      </c>
      <c r="Q50" s="45"/>
      <c r="R50" s="45"/>
    </row>
    <row r="51" ht="15.75" customHeight="1">
      <c r="A51" s="46"/>
      <c r="B51" s="47"/>
      <c r="C51" s="37" t="s">
        <v>536</v>
      </c>
      <c r="D51" s="38"/>
      <c r="E51" s="39"/>
      <c r="F51" s="40"/>
      <c r="G51" s="41"/>
      <c r="H51" s="72" t="s">
        <v>537</v>
      </c>
      <c r="I51" s="43"/>
      <c r="J51" s="43"/>
      <c r="K51" s="43"/>
      <c r="L51" s="43"/>
      <c r="M51" s="43"/>
      <c r="N51" s="43"/>
      <c r="O51" s="43"/>
      <c r="P51" s="44" t="s">
        <v>538</v>
      </c>
      <c r="Q51" s="45"/>
      <c r="R51" s="45"/>
    </row>
    <row r="52" ht="15.75" customHeight="1">
      <c r="A52" s="48"/>
      <c r="B52" s="49"/>
      <c r="C52" s="50" t="s">
        <v>539</v>
      </c>
      <c r="D52" s="51" t="s">
        <v>540</v>
      </c>
      <c r="E52" s="62">
        <v>9.0</v>
      </c>
      <c r="F52" s="63">
        <v>9.0</v>
      </c>
      <c r="G52" s="54"/>
      <c r="H52" s="55">
        <v>9.0</v>
      </c>
      <c r="I52" s="56" t="str">
        <f t="shared" ref="I52:I57" si="7">IF(AND(ISNUMBER(G52),ISNUMBER(H52)),H52-G52,"")</f>
        <v/>
      </c>
      <c r="J52" s="57">
        <f t="shared" ref="J52:J57" si="8">IF(AND(ISNUMBER(E52),E52&gt;0,ISNUMBER(H52)),H52/E52,"")</f>
        <v>1</v>
      </c>
      <c r="K52" s="54" t="s">
        <v>9</v>
      </c>
      <c r="L52" s="58" t="str">
        <f>IF(M52="Yes","🔴 BOTTOM",IF(M52="No","✓ Cleared",IF(Q52="MIN",IF(AND(ISNUMBER(F52),ISNUMBER(H52)),IF(H52&lt;F52*'Master Dashboard'!$B$4,"🔴 LOW",""),""),IF(Q52="MAX",IF(AND(ISNUMBER(F52),ISNUMBER(H52)),IF(H52&gt;F52,"🔴 HIGH",""),""),""))))</f>
        <v/>
      </c>
      <c r="M52" s="54" t="s">
        <v>82</v>
      </c>
      <c r="N52" s="59" t="s">
        <v>83</v>
      </c>
      <c r="O52" s="60" t="s">
        <v>84</v>
      </c>
      <c r="P52" s="61" t="s">
        <v>541</v>
      </c>
      <c r="Q52" s="60" t="s">
        <v>110</v>
      </c>
      <c r="R52" s="60" t="s">
        <v>542</v>
      </c>
    </row>
    <row r="53" ht="15.75" customHeight="1">
      <c r="A53" s="48"/>
      <c r="B53" s="49"/>
      <c r="C53" s="50" t="s">
        <v>543</v>
      </c>
      <c r="D53" s="51" t="s">
        <v>540</v>
      </c>
      <c r="E53" s="62">
        <v>9.0</v>
      </c>
      <c r="F53" s="63">
        <v>9.0</v>
      </c>
      <c r="G53" s="54"/>
      <c r="H53" s="55">
        <v>0.0</v>
      </c>
      <c r="I53" s="56" t="str">
        <f t="shared" si="7"/>
        <v/>
      </c>
      <c r="J53" s="57">
        <f t="shared" si="8"/>
        <v>0</v>
      </c>
      <c r="K53" s="54" t="s">
        <v>9</v>
      </c>
      <c r="L53" s="58" t="str">
        <f>IF(M53="Yes","🔴 BOTTOM",IF(M53="No","✓ Cleared",IF(Q53="MIN",IF(AND(ISNUMBER(F53),ISNUMBER(H53)),IF(H53&lt;F53*'Master Dashboard'!$B$4,"🔴 LOW",""),""),IF(Q53="MAX",IF(AND(ISNUMBER(F53),ISNUMBER(H53)),IF(H53&gt;F53,"🔴 HIGH",""),""),""))))</f>
        <v>🔴 LOW</v>
      </c>
      <c r="M53" s="54" t="s">
        <v>82</v>
      </c>
      <c r="N53" s="59" t="s">
        <v>83</v>
      </c>
      <c r="O53" s="60" t="s">
        <v>84</v>
      </c>
      <c r="P53" s="61" t="s">
        <v>544</v>
      </c>
      <c r="Q53" s="60" t="s">
        <v>110</v>
      </c>
      <c r="R53" s="60" t="s">
        <v>545</v>
      </c>
    </row>
    <row r="54" ht="15.75" customHeight="1">
      <c r="A54" s="48"/>
      <c r="B54" s="49"/>
      <c r="C54" s="50" t="s">
        <v>546</v>
      </c>
      <c r="D54" s="51" t="s">
        <v>540</v>
      </c>
      <c r="E54" s="62">
        <v>6.0</v>
      </c>
      <c r="F54" s="63">
        <v>6.0</v>
      </c>
      <c r="G54" s="54"/>
      <c r="H54" s="55">
        <v>4.0</v>
      </c>
      <c r="I54" s="56" t="str">
        <f t="shared" si="7"/>
        <v/>
      </c>
      <c r="J54" s="57">
        <f t="shared" si="8"/>
        <v>0.6666666667</v>
      </c>
      <c r="K54" s="54" t="s">
        <v>10</v>
      </c>
      <c r="L54" s="58" t="str">
        <f>IF(M54="Yes","🔴 BOTTOM",IF(M54="No","✓ Cleared",IF(Q54="MIN",IF(AND(ISNUMBER(F54),ISNUMBER(H54)),IF(H54&lt;F54*'Master Dashboard'!$B$4,"🔴 LOW",""),""),IF(Q54="MAX",IF(AND(ISNUMBER(F54),ISNUMBER(H54)),IF(H54&gt;F54,"🔴 HIGH",""),""),""))))</f>
        <v>🔴 LOW</v>
      </c>
      <c r="M54" s="54" t="s">
        <v>82</v>
      </c>
      <c r="N54" s="59" t="s">
        <v>83</v>
      </c>
      <c r="O54" s="60" t="s">
        <v>84</v>
      </c>
      <c r="P54" s="61" t="s">
        <v>547</v>
      </c>
      <c r="Q54" s="60" t="s">
        <v>110</v>
      </c>
      <c r="R54" s="60" t="s">
        <v>548</v>
      </c>
    </row>
    <row r="55" ht="15.75" customHeight="1">
      <c r="A55" s="48"/>
      <c r="B55" s="49"/>
      <c r="C55" s="50" t="s">
        <v>549</v>
      </c>
      <c r="D55" s="51" t="s">
        <v>540</v>
      </c>
      <c r="E55" s="62">
        <v>6.0</v>
      </c>
      <c r="F55" s="63">
        <v>6.0</v>
      </c>
      <c r="G55" s="54"/>
      <c r="H55" s="55">
        <v>0.0</v>
      </c>
      <c r="I55" s="56" t="str">
        <f t="shared" si="7"/>
        <v/>
      </c>
      <c r="J55" s="57">
        <f t="shared" si="8"/>
        <v>0</v>
      </c>
      <c r="K55" s="54" t="s">
        <v>10</v>
      </c>
      <c r="L55" s="58" t="str">
        <f>IF(M55="Yes","🔴 BOTTOM",IF(M55="No","✓ Cleared",IF(Q55="MIN",IF(AND(ISNUMBER(F55),ISNUMBER(H55)),IF(H55&lt;F55*'Master Dashboard'!$B$4,"🔴 LOW",""),""),IF(Q55="MAX",IF(AND(ISNUMBER(F55),ISNUMBER(H55)),IF(H55&gt;F55,"🔴 HIGH",""),""),""))))</f>
        <v>🔴 LOW</v>
      </c>
      <c r="M55" s="54" t="s">
        <v>82</v>
      </c>
      <c r="N55" s="59" t="s">
        <v>83</v>
      </c>
      <c r="O55" s="60" t="s">
        <v>84</v>
      </c>
      <c r="P55" s="61" t="s">
        <v>550</v>
      </c>
      <c r="Q55" s="60" t="s">
        <v>110</v>
      </c>
      <c r="R55" s="60" t="s">
        <v>551</v>
      </c>
    </row>
    <row r="56" ht="15.75" customHeight="1">
      <c r="A56" s="35">
        <v>5.0</v>
      </c>
      <c r="B56" s="36" t="s">
        <v>552</v>
      </c>
      <c r="C56" s="50" t="s">
        <v>553</v>
      </c>
      <c r="D56" s="51" t="s">
        <v>554</v>
      </c>
      <c r="E56" s="52"/>
      <c r="F56" s="53"/>
      <c r="G56" s="54"/>
      <c r="H56" s="55">
        <v>1544.0</v>
      </c>
      <c r="I56" s="56" t="str">
        <f t="shared" si="7"/>
        <v/>
      </c>
      <c r="J56" s="57" t="str">
        <f t="shared" si="8"/>
        <v/>
      </c>
      <c r="K56" s="54" t="s">
        <v>11</v>
      </c>
      <c r="L56" s="58" t="str">
        <f>IF(M56="Yes","🔴 BOTTOM",IF(M56="No","✓ Cleared",IF(Q56="MIN",IF(AND(ISNUMBER(F56),ISNUMBER(H56)),IF(H56&lt;F56*'Master Dashboard'!$B$4,"🔴 LOW",""),""),IF(Q56="MAX",IF(AND(ISNUMBER(F56),ISNUMBER(H56)),IF(H56&gt;F56,"🔴 HIGH",""),""),""))))</f>
        <v/>
      </c>
      <c r="M56" s="54" t="s">
        <v>82</v>
      </c>
      <c r="N56" s="59" t="s">
        <v>83</v>
      </c>
      <c r="O56" s="60" t="s">
        <v>84</v>
      </c>
      <c r="P56" s="61" t="s">
        <v>555</v>
      </c>
      <c r="Q56" s="60"/>
      <c r="R56" s="60" t="s">
        <v>556</v>
      </c>
    </row>
    <row r="57" ht="15.75" customHeight="1">
      <c r="A57" s="48"/>
      <c r="B57" s="49"/>
      <c r="C57" s="50" t="s">
        <v>557</v>
      </c>
      <c r="D57" s="51" t="s">
        <v>371</v>
      </c>
      <c r="E57" s="62">
        <v>1544.0</v>
      </c>
      <c r="F57" s="63">
        <v>772.0</v>
      </c>
      <c r="G57" s="54"/>
      <c r="H57" s="55">
        <v>291.0</v>
      </c>
      <c r="I57" s="56" t="str">
        <f t="shared" si="7"/>
        <v/>
      </c>
      <c r="J57" s="57">
        <f t="shared" si="8"/>
        <v>0.1884715026</v>
      </c>
      <c r="K57" s="54" t="s">
        <v>11</v>
      </c>
      <c r="L57" s="58" t="str">
        <f>IF(M57="Yes","🔴 BOTTOM",IF(M57="No","✓ Cleared",IF(Q57="MIN",IF(AND(ISNUMBER(F57),ISNUMBER(H57)),IF(H57&lt;F57*'Master Dashboard'!$B$4,"🔴 LOW",""),""),IF(Q57="MAX",IF(AND(ISNUMBER(F57),ISNUMBER(H57)),IF(H57&gt;F57,"🔴 HIGH",""),""),""))))</f>
        <v>🔴 LOW</v>
      </c>
      <c r="M57" s="54" t="s">
        <v>82</v>
      </c>
      <c r="N57" s="59" t="s">
        <v>83</v>
      </c>
      <c r="O57" s="60" t="s">
        <v>84</v>
      </c>
      <c r="P57" s="61" t="s">
        <v>558</v>
      </c>
      <c r="Q57" s="60" t="s">
        <v>110</v>
      </c>
      <c r="R57" s="60" t="s">
        <v>559</v>
      </c>
    </row>
    <row r="58" ht="15.75" customHeight="1">
      <c r="A58" s="35">
        <v>6.0</v>
      </c>
      <c r="B58" s="36" t="s">
        <v>560</v>
      </c>
      <c r="C58" s="37" t="s">
        <v>561</v>
      </c>
      <c r="D58" s="38"/>
      <c r="E58" s="39"/>
      <c r="F58" s="40"/>
      <c r="G58" s="41"/>
      <c r="H58" s="42">
        <v>34565.0</v>
      </c>
      <c r="I58" s="43"/>
      <c r="J58" s="43"/>
      <c r="K58" s="43"/>
      <c r="L58" s="43"/>
      <c r="M58" s="43"/>
      <c r="N58" s="43"/>
      <c r="O58" s="43"/>
      <c r="P58" s="44" t="s">
        <v>562</v>
      </c>
      <c r="Q58" s="45"/>
      <c r="R58" s="45"/>
    </row>
    <row r="59" ht="15.75" customHeight="1">
      <c r="A59" s="48"/>
      <c r="B59" s="49"/>
      <c r="C59" s="50" t="s">
        <v>563</v>
      </c>
      <c r="D59" s="51" t="s">
        <v>201</v>
      </c>
      <c r="E59" s="52"/>
      <c r="F59" s="53"/>
      <c r="G59" s="54"/>
      <c r="H59" s="55">
        <v>34565.0</v>
      </c>
      <c r="I59" s="56" t="str">
        <f t="shared" ref="I59:I71" si="9">IF(AND(ISNUMBER(G59),ISNUMBER(H59)),H59-G59,"")</f>
        <v/>
      </c>
      <c r="J59" s="57" t="str">
        <f t="shared" ref="J59:J71" si="10">IF(AND(ISNUMBER(E59),E59&gt;0,ISNUMBER(H59)),H59/E59,"")</f>
        <v/>
      </c>
      <c r="K59" s="54" t="s">
        <v>9</v>
      </c>
      <c r="L59" s="58" t="str">
        <f>IF(M59="Yes","🔴 BOTTOM",IF(M59="No","✓ Cleared",IF(Q59="MIN",IF(AND(ISNUMBER(F59),ISNUMBER(H59)),IF(H59&lt;F59*'Master Dashboard'!$B$4,"🔴 LOW",""),""),IF(Q59="MAX",IF(AND(ISNUMBER(F59),ISNUMBER(H59)),IF(H59&gt;F59,"🔴 HIGH",""),""),""))))</f>
        <v/>
      </c>
      <c r="M59" s="54" t="s">
        <v>82</v>
      </c>
      <c r="N59" s="59" t="s">
        <v>83</v>
      </c>
      <c r="O59" s="60" t="s">
        <v>84</v>
      </c>
      <c r="P59" s="61" t="s">
        <v>564</v>
      </c>
      <c r="Q59" s="60"/>
      <c r="R59" s="60" t="s">
        <v>565</v>
      </c>
    </row>
    <row r="60" ht="15.75" customHeight="1">
      <c r="A60" s="48"/>
      <c r="B60" s="49"/>
      <c r="C60" s="50" t="s">
        <v>566</v>
      </c>
      <c r="D60" s="51" t="s">
        <v>371</v>
      </c>
      <c r="E60" s="52"/>
      <c r="F60" s="53"/>
      <c r="G60" s="54"/>
      <c r="H60" s="55">
        <v>66456.0</v>
      </c>
      <c r="I60" s="56" t="str">
        <f t="shared" si="9"/>
        <v/>
      </c>
      <c r="J60" s="57" t="str">
        <f t="shared" si="10"/>
        <v/>
      </c>
      <c r="K60" s="54" t="s">
        <v>9</v>
      </c>
      <c r="L60" s="58" t="str">
        <f>IF(M60="Yes","🔴 BOTTOM",IF(M60="No","✓ Cleared",IF(Q60="MIN",IF(AND(ISNUMBER(F60),ISNUMBER(H60)),IF(H60&lt;F60*'Master Dashboard'!$B$4,"🔴 LOW",""),""),IF(Q60="MAX",IF(AND(ISNUMBER(F60),ISNUMBER(H60)),IF(H60&gt;F60,"🔴 HIGH",""),""),""))))</f>
        <v/>
      </c>
      <c r="M60" s="54" t="s">
        <v>82</v>
      </c>
      <c r="N60" s="59" t="s">
        <v>83</v>
      </c>
      <c r="O60" s="60" t="s">
        <v>84</v>
      </c>
      <c r="P60" s="61"/>
      <c r="Q60" s="60"/>
      <c r="R60" s="60" t="s">
        <v>567</v>
      </c>
    </row>
    <row r="61" ht="15.75" customHeight="1">
      <c r="A61" s="48"/>
      <c r="B61" s="49"/>
      <c r="C61" s="50" t="s">
        <v>568</v>
      </c>
      <c r="D61" s="51" t="s">
        <v>371</v>
      </c>
      <c r="E61" s="62">
        <v>0.0</v>
      </c>
      <c r="F61" s="63">
        <v>0.0</v>
      </c>
      <c r="G61" s="54"/>
      <c r="H61" s="55">
        <v>13.0</v>
      </c>
      <c r="I61" s="56" t="str">
        <f t="shared" si="9"/>
        <v/>
      </c>
      <c r="J61" s="57" t="str">
        <f t="shared" si="10"/>
        <v/>
      </c>
      <c r="K61" s="54" t="s">
        <v>9</v>
      </c>
      <c r="L61" s="58" t="str">
        <f>IF(M61="Yes","🔴 BOTTOM",IF(M61="No","✓ Cleared",IF(Q61="MIN",IF(AND(ISNUMBER(F61),ISNUMBER(H61)),IF(H61&lt;F61*'Master Dashboard'!$B$4,"🔴 LOW",""),""),IF(Q61="MAX",IF(AND(ISNUMBER(F61),ISNUMBER(H61)),IF(H61&gt;F61,"🔴 HIGH",""),""),""))))</f>
        <v>🔴 HIGH</v>
      </c>
      <c r="M61" s="54" t="s">
        <v>82</v>
      </c>
      <c r="N61" s="59" t="s">
        <v>83</v>
      </c>
      <c r="O61" s="60" t="s">
        <v>84</v>
      </c>
      <c r="P61" s="61"/>
      <c r="Q61" s="60" t="s">
        <v>114</v>
      </c>
      <c r="R61" s="60" t="s">
        <v>569</v>
      </c>
    </row>
    <row r="62" ht="15.75" customHeight="1">
      <c r="A62" s="48"/>
      <c r="B62" s="49"/>
      <c r="C62" s="50" t="s">
        <v>570</v>
      </c>
      <c r="D62" s="51" t="s">
        <v>309</v>
      </c>
      <c r="E62" s="62">
        <v>0.0</v>
      </c>
      <c r="F62" s="63">
        <v>0.0</v>
      </c>
      <c r="G62" s="54"/>
      <c r="H62" s="55">
        <v>11.0</v>
      </c>
      <c r="I62" s="56" t="str">
        <f t="shared" si="9"/>
        <v/>
      </c>
      <c r="J62" s="57" t="str">
        <f t="shared" si="10"/>
        <v/>
      </c>
      <c r="K62" s="54" t="s">
        <v>9</v>
      </c>
      <c r="L62" s="58" t="str">
        <f>IF(M62="Yes","🔴 BOTTOM",IF(M62="No","✓ Cleared",IF(Q62="MIN",IF(AND(ISNUMBER(F62),ISNUMBER(H62)),IF(H62&lt;F62*'Master Dashboard'!$B$4,"🔴 LOW",""),""),IF(Q62="MAX",IF(AND(ISNUMBER(F62),ISNUMBER(H62)),IF(H62&gt;F62,"🔴 HIGH",""),""),""))))</f>
        <v>🔴 HIGH</v>
      </c>
      <c r="M62" s="54" t="s">
        <v>82</v>
      </c>
      <c r="N62" s="59" t="s">
        <v>83</v>
      </c>
      <c r="O62" s="60" t="s">
        <v>84</v>
      </c>
      <c r="P62" s="61"/>
      <c r="Q62" s="60" t="s">
        <v>114</v>
      </c>
      <c r="R62" s="60" t="s">
        <v>571</v>
      </c>
    </row>
    <row r="63" ht="15.75" customHeight="1">
      <c r="A63" s="48"/>
      <c r="B63" s="49"/>
      <c r="C63" s="50" t="s">
        <v>572</v>
      </c>
      <c r="D63" s="51" t="s">
        <v>371</v>
      </c>
      <c r="E63" s="52"/>
      <c r="F63" s="53"/>
      <c r="G63" s="54"/>
      <c r="H63" s="55">
        <v>15.0</v>
      </c>
      <c r="I63" s="56" t="str">
        <f t="shared" si="9"/>
        <v/>
      </c>
      <c r="J63" s="57" t="str">
        <f t="shared" si="10"/>
        <v/>
      </c>
      <c r="K63" s="54" t="s">
        <v>9</v>
      </c>
      <c r="L63" s="58" t="str">
        <f>IF(M63="Yes","🔴 BOTTOM",IF(M63="No","✓ Cleared",IF(Q63="MIN",IF(AND(ISNUMBER(F63),ISNUMBER(H63)),IF(H63&lt;F63*'Master Dashboard'!$B$4,"🔴 LOW",""),""),IF(Q63="MAX",IF(AND(ISNUMBER(F63),ISNUMBER(H63)),IF(H63&gt;F63,"🔴 HIGH",""),""),""))))</f>
        <v/>
      </c>
      <c r="M63" s="54" t="s">
        <v>82</v>
      </c>
      <c r="N63" s="59" t="s">
        <v>83</v>
      </c>
      <c r="O63" s="60" t="s">
        <v>84</v>
      </c>
      <c r="P63" s="61"/>
      <c r="Q63" s="60"/>
      <c r="R63" s="60" t="s">
        <v>573</v>
      </c>
    </row>
    <row r="64" ht="15.75" customHeight="1">
      <c r="A64" s="48"/>
      <c r="B64" s="49"/>
      <c r="C64" s="50" t="s">
        <v>574</v>
      </c>
      <c r="D64" s="51" t="s">
        <v>371</v>
      </c>
      <c r="E64" s="52"/>
      <c r="F64" s="53"/>
      <c r="G64" s="54"/>
      <c r="H64" s="55">
        <v>206.0</v>
      </c>
      <c r="I64" s="56" t="str">
        <f t="shared" si="9"/>
        <v/>
      </c>
      <c r="J64" s="57" t="str">
        <f t="shared" si="10"/>
        <v/>
      </c>
      <c r="K64" s="54" t="s">
        <v>9</v>
      </c>
      <c r="L64" s="58" t="str">
        <f>IF(M64="Yes","🔴 BOTTOM",IF(M64="No","✓ Cleared",IF(Q64="MIN",IF(AND(ISNUMBER(F64),ISNUMBER(H64)),IF(H64&lt;F64*'Master Dashboard'!$B$4,"🔴 LOW",""),""),IF(Q64="MAX",IF(AND(ISNUMBER(F64),ISNUMBER(H64)),IF(H64&gt;F64,"🔴 HIGH",""),""),""))))</f>
        <v/>
      </c>
      <c r="M64" s="54" t="s">
        <v>82</v>
      </c>
      <c r="N64" s="59" t="s">
        <v>83</v>
      </c>
      <c r="O64" s="60" t="s">
        <v>84</v>
      </c>
      <c r="P64" s="61"/>
      <c r="Q64" s="60"/>
      <c r="R64" s="60" t="s">
        <v>575</v>
      </c>
    </row>
    <row r="65" ht="15.75" customHeight="1">
      <c r="A65" s="48"/>
      <c r="B65" s="49"/>
      <c r="C65" s="50" t="s">
        <v>576</v>
      </c>
      <c r="D65" s="51" t="s">
        <v>201</v>
      </c>
      <c r="E65" s="62">
        <v>500.0</v>
      </c>
      <c r="F65" s="63">
        <v>200.0</v>
      </c>
      <c r="G65" s="54"/>
      <c r="H65" s="55">
        <v>0.0</v>
      </c>
      <c r="I65" s="56" t="str">
        <f t="shared" si="9"/>
        <v/>
      </c>
      <c r="J65" s="57">
        <f t="shared" si="10"/>
        <v>0</v>
      </c>
      <c r="K65" s="54" t="s">
        <v>10</v>
      </c>
      <c r="L65" s="58" t="str">
        <f>IF(M65="Yes","🔴 BOTTOM",IF(M65="No","✓ Cleared",IF(Q65="MIN",IF(AND(ISNUMBER(F65),ISNUMBER(H65)),IF(H65&lt;F65*'Master Dashboard'!$B$4,"🔴 LOW",""),""),IF(Q65="MAX",IF(AND(ISNUMBER(F65),ISNUMBER(H65)),IF(H65&gt;F65,"🔴 HIGH",""),""),""))))</f>
        <v>🔴 LOW</v>
      </c>
      <c r="M65" s="54" t="s">
        <v>82</v>
      </c>
      <c r="N65" s="59" t="s">
        <v>83</v>
      </c>
      <c r="O65" s="60" t="s">
        <v>84</v>
      </c>
      <c r="P65" s="61" t="s">
        <v>577</v>
      </c>
      <c r="Q65" s="60" t="s">
        <v>110</v>
      </c>
      <c r="R65" s="60" t="s">
        <v>578</v>
      </c>
    </row>
    <row r="66" ht="15.75" customHeight="1">
      <c r="A66" s="48"/>
      <c r="B66" s="49"/>
      <c r="C66" s="50" t="s">
        <v>579</v>
      </c>
      <c r="D66" s="51" t="s">
        <v>201</v>
      </c>
      <c r="E66" s="62">
        <v>500.0</v>
      </c>
      <c r="F66" s="63">
        <v>200.0</v>
      </c>
      <c r="G66" s="54"/>
      <c r="H66" s="55">
        <v>256.0</v>
      </c>
      <c r="I66" s="56" t="str">
        <f t="shared" si="9"/>
        <v/>
      </c>
      <c r="J66" s="57">
        <f t="shared" si="10"/>
        <v>0.512</v>
      </c>
      <c r="K66" s="54" t="s">
        <v>9</v>
      </c>
      <c r="L66" s="58" t="str">
        <f>IF(M66="Yes","🔴 BOTTOM",IF(M66="No","✓ Cleared",IF(Q66="MIN",IF(AND(ISNUMBER(F66),ISNUMBER(H66)),IF(H66&lt;F66*'Master Dashboard'!$B$4,"🔴 LOW",""),""),IF(Q66="MAX",IF(AND(ISNUMBER(F66),ISNUMBER(H66)),IF(H66&gt;F66,"🔴 HIGH",""),""),""))))</f>
        <v/>
      </c>
      <c r="M66" s="54" t="s">
        <v>82</v>
      </c>
      <c r="N66" s="59" t="s">
        <v>83</v>
      </c>
      <c r="O66" s="60" t="s">
        <v>84</v>
      </c>
      <c r="P66" s="61"/>
      <c r="Q66" s="60" t="s">
        <v>110</v>
      </c>
      <c r="R66" s="60" t="s">
        <v>580</v>
      </c>
    </row>
    <row r="67" ht="15.75" customHeight="1">
      <c r="A67" s="48"/>
      <c r="B67" s="49"/>
      <c r="C67" s="50" t="s">
        <v>581</v>
      </c>
      <c r="D67" s="51" t="s">
        <v>201</v>
      </c>
      <c r="E67" s="62">
        <v>500.0</v>
      </c>
      <c r="F67" s="63">
        <v>200.0</v>
      </c>
      <c r="G67" s="54"/>
      <c r="H67" s="55">
        <v>314.0</v>
      </c>
      <c r="I67" s="56" t="str">
        <f t="shared" si="9"/>
        <v/>
      </c>
      <c r="J67" s="57">
        <f t="shared" si="10"/>
        <v>0.628</v>
      </c>
      <c r="K67" s="54" t="s">
        <v>9</v>
      </c>
      <c r="L67" s="58" t="str">
        <f>IF(M67="Yes","🔴 BOTTOM",IF(M67="No","✓ Cleared",IF(Q67="MIN",IF(AND(ISNUMBER(F67),ISNUMBER(H67)),IF(H67&lt;F67*'Master Dashboard'!$B$4,"🔴 LOW",""),""),IF(Q67="MAX",IF(AND(ISNUMBER(F67),ISNUMBER(H67)),IF(H67&gt;F67,"🔴 HIGH",""),""),""))))</f>
        <v/>
      </c>
      <c r="M67" s="54" t="s">
        <v>82</v>
      </c>
      <c r="N67" s="59" t="s">
        <v>83</v>
      </c>
      <c r="O67" s="60" t="s">
        <v>84</v>
      </c>
      <c r="P67" s="61"/>
      <c r="Q67" s="60" t="s">
        <v>110</v>
      </c>
      <c r="R67" s="60" t="s">
        <v>582</v>
      </c>
    </row>
    <row r="68" ht="15.75" customHeight="1">
      <c r="A68" s="48"/>
      <c r="B68" s="49"/>
      <c r="C68" s="50" t="s">
        <v>583</v>
      </c>
      <c r="D68" s="51" t="s">
        <v>380</v>
      </c>
      <c r="E68" s="52"/>
      <c r="F68" s="53"/>
      <c r="G68" s="54"/>
      <c r="H68" s="71"/>
      <c r="I68" s="56" t="str">
        <f t="shared" si="9"/>
        <v/>
      </c>
      <c r="J68" s="57" t="str">
        <f t="shared" si="10"/>
        <v/>
      </c>
      <c r="K68" s="54" t="s">
        <v>8</v>
      </c>
      <c r="L68" s="58" t="str">
        <f>IF(M68="Yes","🔴 BOTTOM",IF(M68="No","✓ Cleared",IF(Q68="MIN",IF(AND(ISNUMBER(F68),ISNUMBER(H68)),IF(H68&lt;F68*'Master Dashboard'!$B$4,"🔴 LOW",""),""),IF(Q68="MAX",IF(AND(ISNUMBER(F68),ISNUMBER(H68)),IF(H68&gt;F68,"🔴 HIGH",""),""),""))))</f>
        <v/>
      </c>
      <c r="M68" s="54" t="s">
        <v>82</v>
      </c>
      <c r="N68" s="59"/>
      <c r="O68" s="60"/>
      <c r="P68" s="61" t="s">
        <v>584</v>
      </c>
      <c r="Q68" s="60"/>
      <c r="R68" s="60" t="s">
        <v>585</v>
      </c>
    </row>
    <row r="69" ht="15.75" customHeight="1">
      <c r="A69" s="35">
        <v>7.0</v>
      </c>
      <c r="B69" s="36" t="s">
        <v>586</v>
      </c>
      <c r="C69" s="50" t="s">
        <v>587</v>
      </c>
      <c r="D69" s="51" t="s">
        <v>421</v>
      </c>
      <c r="E69" s="62">
        <v>87.0</v>
      </c>
      <c r="F69" s="63">
        <v>87.0</v>
      </c>
      <c r="G69" s="54"/>
      <c r="H69" s="55">
        <v>87.0</v>
      </c>
      <c r="I69" s="56" t="str">
        <f t="shared" si="9"/>
        <v/>
      </c>
      <c r="J69" s="57">
        <f t="shared" si="10"/>
        <v>1</v>
      </c>
      <c r="K69" s="54" t="s">
        <v>7</v>
      </c>
      <c r="L69" s="58" t="str">
        <f>IF(M69="Yes","🔴 BOTTOM",IF(M69="No","✓ Cleared",IF(Q69="MIN",IF(AND(ISNUMBER(F69),ISNUMBER(H69)),IF(H69&lt;F69*'Master Dashboard'!$B$4,"🔴 LOW",""),""),IF(Q69="MAX",IF(AND(ISNUMBER(F69),ISNUMBER(H69)),IF(H69&gt;F69,"🔴 HIGH",""),""),""))))</f>
        <v/>
      </c>
      <c r="M69" s="54" t="s">
        <v>82</v>
      </c>
      <c r="N69" s="59" t="s">
        <v>83</v>
      </c>
      <c r="O69" s="60" t="s">
        <v>84</v>
      </c>
      <c r="P69" s="61" t="s">
        <v>425</v>
      </c>
      <c r="Q69" s="60" t="s">
        <v>110</v>
      </c>
      <c r="R69" s="60" t="s">
        <v>588</v>
      </c>
    </row>
    <row r="70" ht="15.75" customHeight="1">
      <c r="A70" s="48"/>
      <c r="B70" s="49"/>
      <c r="C70" s="50" t="s">
        <v>589</v>
      </c>
      <c r="D70" s="51" t="s">
        <v>590</v>
      </c>
      <c r="E70" s="52"/>
      <c r="F70" s="53"/>
      <c r="G70" s="54"/>
      <c r="H70" s="55">
        <v>12.0</v>
      </c>
      <c r="I70" s="56" t="str">
        <f t="shared" si="9"/>
        <v/>
      </c>
      <c r="J70" s="57" t="str">
        <f t="shared" si="10"/>
        <v/>
      </c>
      <c r="K70" s="54" t="s">
        <v>8</v>
      </c>
      <c r="L70" s="58" t="str">
        <f>IF(M70="Yes","🔴 BOTTOM",IF(M70="No","✓ Cleared",IF(Q70="MIN",IF(AND(ISNUMBER(F70),ISNUMBER(H70)),IF(H70&lt;F70*'Master Dashboard'!$B$4,"🔴 LOW",""),""),IF(Q70="MAX",IF(AND(ISNUMBER(F70),ISNUMBER(H70)),IF(H70&gt;F70,"🔴 HIGH",""),""),""))))</f>
        <v/>
      </c>
      <c r="M70" s="54" t="s">
        <v>82</v>
      </c>
      <c r="N70" s="59" t="s">
        <v>83</v>
      </c>
      <c r="O70" s="60" t="s">
        <v>84</v>
      </c>
      <c r="P70" s="61" t="s">
        <v>591</v>
      </c>
      <c r="Q70" s="60"/>
      <c r="R70" s="60" t="s">
        <v>592</v>
      </c>
    </row>
    <row r="71" ht="15.75" customHeight="1">
      <c r="A71" s="48"/>
      <c r="B71" s="49"/>
      <c r="C71" s="50" t="s">
        <v>593</v>
      </c>
      <c r="D71" s="51" t="s">
        <v>380</v>
      </c>
      <c r="E71" s="52"/>
      <c r="F71" s="53"/>
      <c r="G71" s="54"/>
      <c r="H71" s="71"/>
      <c r="I71" s="56" t="str">
        <f t="shared" si="9"/>
        <v/>
      </c>
      <c r="J71" s="57" t="str">
        <f t="shared" si="10"/>
        <v/>
      </c>
      <c r="K71" s="54" t="s">
        <v>9</v>
      </c>
      <c r="L71" s="58" t="str">
        <f>IF(M71="Yes","🔴 BOTTOM",IF(M71="No","✓ Cleared",IF(Q71="MIN",IF(AND(ISNUMBER(F71),ISNUMBER(H71)),IF(H71&lt;F71*'Master Dashboard'!$B$4,"🔴 LOW",""),""),IF(Q71="MAX",IF(AND(ISNUMBER(F71),ISNUMBER(H71)),IF(H71&gt;F71,"🔴 HIGH",""),""),""))))</f>
        <v/>
      </c>
      <c r="M71" s="54" t="s">
        <v>82</v>
      </c>
      <c r="N71" s="59"/>
      <c r="O71" s="60"/>
      <c r="P71" s="61" t="s">
        <v>594</v>
      </c>
      <c r="Q71" s="60"/>
      <c r="R71" s="60" t="s">
        <v>595</v>
      </c>
    </row>
    <row r="72" ht="15.75" customHeight="1">
      <c r="A72" s="35">
        <v>8.0</v>
      </c>
      <c r="B72" s="36" t="s">
        <v>596</v>
      </c>
      <c r="C72" s="37" t="s">
        <v>597</v>
      </c>
      <c r="D72" s="38"/>
      <c r="E72" s="39"/>
      <c r="F72" s="40"/>
      <c r="G72" s="41"/>
      <c r="H72" s="42">
        <v>72079.0</v>
      </c>
      <c r="I72" s="43"/>
      <c r="J72" s="43"/>
      <c r="K72" s="43"/>
      <c r="L72" s="43"/>
      <c r="M72" s="43"/>
      <c r="N72" s="43"/>
      <c r="O72" s="43"/>
      <c r="P72" s="44" t="s">
        <v>598</v>
      </c>
      <c r="Q72" s="45"/>
      <c r="R72" s="45"/>
    </row>
    <row r="73" ht="15.75" customHeight="1">
      <c r="A73" s="48"/>
      <c r="B73" s="49"/>
      <c r="C73" s="50" t="s">
        <v>599</v>
      </c>
      <c r="D73" s="51" t="s">
        <v>201</v>
      </c>
      <c r="E73" s="62">
        <v>731750.0</v>
      </c>
      <c r="F73" s="63">
        <v>73175.0</v>
      </c>
      <c r="G73" s="54"/>
      <c r="H73" s="55">
        <v>72079.0</v>
      </c>
      <c r="I73" s="56" t="str">
        <f t="shared" ref="I73:I87" si="11">IF(AND(ISNUMBER(G73),ISNUMBER(H73)),H73-G73,"")</f>
        <v/>
      </c>
      <c r="J73" s="57">
        <f t="shared" ref="J73:J87" si="12">IF(AND(ISNUMBER(E73),E73&gt;0,ISNUMBER(H73)),H73/E73,"")</f>
        <v>0.0985022207</v>
      </c>
      <c r="K73" s="54" t="s">
        <v>9</v>
      </c>
      <c r="L73" s="58" t="str">
        <f>IF(M73="Yes","🔴 BOTTOM",IF(M73="No","✓ Cleared",IF(Q73="MIN",IF(AND(ISNUMBER(F73),ISNUMBER(H73)),IF(H73&lt;F73*'Master Dashboard'!$B$4,"🔴 LOW",""),""),IF(Q73="MAX",IF(AND(ISNUMBER(F73),ISNUMBER(H73)),IF(H73&gt;F73,"🔴 HIGH",""),""),""))))</f>
        <v>🔴 LOW</v>
      </c>
      <c r="M73" s="54" t="s">
        <v>82</v>
      </c>
      <c r="N73" s="59" t="s">
        <v>83</v>
      </c>
      <c r="O73" s="60" t="s">
        <v>84</v>
      </c>
      <c r="P73" s="61" t="s">
        <v>600</v>
      </c>
      <c r="Q73" s="60" t="s">
        <v>110</v>
      </c>
      <c r="R73" s="60" t="s">
        <v>601</v>
      </c>
    </row>
    <row r="74" ht="15.75" customHeight="1">
      <c r="A74" s="48"/>
      <c r="B74" s="49"/>
      <c r="C74" s="50" t="s">
        <v>602</v>
      </c>
      <c r="D74" s="51" t="s">
        <v>201</v>
      </c>
      <c r="E74" s="62">
        <v>48500.0</v>
      </c>
      <c r="F74" s="63">
        <v>4850.0</v>
      </c>
      <c r="G74" s="54"/>
      <c r="H74" s="55">
        <v>3417.0</v>
      </c>
      <c r="I74" s="56" t="str">
        <f t="shared" si="11"/>
        <v/>
      </c>
      <c r="J74" s="57">
        <f t="shared" si="12"/>
        <v>0.07045360825</v>
      </c>
      <c r="K74" s="54" t="s">
        <v>9</v>
      </c>
      <c r="L74" s="58" t="str">
        <f>IF(M74="Yes","🔴 BOTTOM",IF(M74="No","✓ Cleared",IF(Q74="MIN",IF(AND(ISNUMBER(F74),ISNUMBER(H74)),IF(H74&lt;F74*'Master Dashboard'!$B$4,"🔴 LOW",""),""),IF(Q74="MAX",IF(AND(ISNUMBER(F74),ISNUMBER(H74)),IF(H74&gt;F74,"🔴 HIGH",""),""),""))))</f>
        <v>🔴 LOW</v>
      </c>
      <c r="M74" s="54" t="s">
        <v>82</v>
      </c>
      <c r="N74" s="59" t="s">
        <v>83</v>
      </c>
      <c r="O74" s="60" t="s">
        <v>84</v>
      </c>
      <c r="P74" s="61" t="s">
        <v>603</v>
      </c>
      <c r="Q74" s="60" t="s">
        <v>110</v>
      </c>
      <c r="R74" s="60" t="s">
        <v>604</v>
      </c>
    </row>
    <row r="75" ht="15.75" customHeight="1">
      <c r="A75" s="48"/>
      <c r="B75" s="49"/>
      <c r="C75" s="50" t="s">
        <v>605</v>
      </c>
      <c r="D75" s="51" t="s">
        <v>201</v>
      </c>
      <c r="E75" s="62">
        <v>54250.0</v>
      </c>
      <c r="F75" s="63">
        <v>5425.0</v>
      </c>
      <c r="G75" s="54"/>
      <c r="H75" s="55">
        <v>12345.0</v>
      </c>
      <c r="I75" s="56" t="str">
        <f t="shared" si="11"/>
        <v/>
      </c>
      <c r="J75" s="57">
        <f t="shared" si="12"/>
        <v>0.2275576037</v>
      </c>
      <c r="K75" s="54" t="s">
        <v>9</v>
      </c>
      <c r="L75" s="58" t="str">
        <f>IF(M75="Yes","🔴 BOTTOM",IF(M75="No","✓ Cleared",IF(Q75="MIN",IF(AND(ISNUMBER(F75),ISNUMBER(H75)),IF(H75&lt;F75*'Master Dashboard'!$B$4,"🔴 LOW",""),""),IF(Q75="MAX",IF(AND(ISNUMBER(F75),ISNUMBER(H75)),IF(H75&gt;F75,"🔴 HIGH",""),""),""))))</f>
        <v/>
      </c>
      <c r="M75" s="54" t="s">
        <v>82</v>
      </c>
      <c r="N75" s="59" t="s">
        <v>83</v>
      </c>
      <c r="O75" s="60" t="s">
        <v>84</v>
      </c>
      <c r="P75" s="61" t="s">
        <v>606</v>
      </c>
      <c r="Q75" s="60" t="s">
        <v>110</v>
      </c>
      <c r="R75" s="60" t="s">
        <v>607</v>
      </c>
    </row>
    <row r="76" ht="15.75" customHeight="1">
      <c r="A76" s="48"/>
      <c r="B76" s="49"/>
      <c r="C76" s="50" t="s">
        <v>608</v>
      </c>
      <c r="D76" s="51" t="s">
        <v>201</v>
      </c>
      <c r="E76" s="62">
        <v>47000.0</v>
      </c>
      <c r="F76" s="63">
        <v>4700.0</v>
      </c>
      <c r="G76" s="54"/>
      <c r="H76" s="55">
        <v>11686.0</v>
      </c>
      <c r="I76" s="56" t="str">
        <f t="shared" si="11"/>
        <v/>
      </c>
      <c r="J76" s="57">
        <f t="shared" si="12"/>
        <v>0.2486382979</v>
      </c>
      <c r="K76" s="54" t="s">
        <v>9</v>
      </c>
      <c r="L76" s="58" t="str">
        <f>IF(M76="Yes","🔴 BOTTOM",IF(M76="No","✓ Cleared",IF(Q76="MIN",IF(AND(ISNUMBER(F76),ISNUMBER(H76)),IF(H76&lt;F76*'Master Dashboard'!$B$4,"🔴 LOW",""),""),IF(Q76="MAX",IF(AND(ISNUMBER(F76),ISNUMBER(H76)),IF(H76&gt;F76,"🔴 HIGH",""),""),""))))</f>
        <v/>
      </c>
      <c r="M76" s="54" t="s">
        <v>82</v>
      </c>
      <c r="N76" s="59" t="s">
        <v>83</v>
      </c>
      <c r="O76" s="60" t="s">
        <v>84</v>
      </c>
      <c r="P76" s="61" t="s">
        <v>609</v>
      </c>
      <c r="Q76" s="60" t="s">
        <v>110</v>
      </c>
      <c r="R76" s="60" t="s">
        <v>610</v>
      </c>
    </row>
    <row r="77" ht="15.75" customHeight="1">
      <c r="A77" s="48"/>
      <c r="B77" s="49"/>
      <c r="C77" s="50" t="s">
        <v>611</v>
      </c>
      <c r="D77" s="51" t="s">
        <v>201</v>
      </c>
      <c r="E77" s="62">
        <v>74500.0</v>
      </c>
      <c r="F77" s="63">
        <v>7450.0</v>
      </c>
      <c r="G77" s="54"/>
      <c r="H77" s="55">
        <v>13633.0</v>
      </c>
      <c r="I77" s="56" t="str">
        <f t="shared" si="11"/>
        <v/>
      </c>
      <c r="J77" s="57">
        <f t="shared" si="12"/>
        <v>0.1829932886</v>
      </c>
      <c r="K77" s="54" t="s">
        <v>9</v>
      </c>
      <c r="L77" s="58" t="str">
        <f>IF(M77="Yes","🔴 BOTTOM",IF(M77="No","✓ Cleared",IF(Q77="MIN",IF(AND(ISNUMBER(F77),ISNUMBER(H77)),IF(H77&lt;F77*'Master Dashboard'!$B$4,"🔴 LOW",""),""),IF(Q77="MAX",IF(AND(ISNUMBER(F77),ISNUMBER(H77)),IF(H77&gt;F77,"🔴 HIGH",""),""),""))))</f>
        <v/>
      </c>
      <c r="M77" s="54" t="s">
        <v>82</v>
      </c>
      <c r="N77" s="59" t="s">
        <v>83</v>
      </c>
      <c r="O77" s="60" t="s">
        <v>84</v>
      </c>
      <c r="P77" s="61" t="s">
        <v>612</v>
      </c>
      <c r="Q77" s="60" t="s">
        <v>110</v>
      </c>
      <c r="R77" s="60" t="s">
        <v>613</v>
      </c>
    </row>
    <row r="78" ht="15.75" customHeight="1">
      <c r="A78" s="48"/>
      <c r="B78" s="49"/>
      <c r="C78" s="50" t="s">
        <v>614</v>
      </c>
      <c r="D78" s="51" t="s">
        <v>201</v>
      </c>
      <c r="E78" s="62">
        <v>55500.0</v>
      </c>
      <c r="F78" s="63">
        <v>5550.0</v>
      </c>
      <c r="G78" s="54"/>
      <c r="H78" s="55">
        <v>708.0</v>
      </c>
      <c r="I78" s="56" t="str">
        <f t="shared" si="11"/>
        <v/>
      </c>
      <c r="J78" s="57">
        <f t="shared" si="12"/>
        <v>0.01275675676</v>
      </c>
      <c r="K78" s="54" t="s">
        <v>9</v>
      </c>
      <c r="L78" s="58" t="str">
        <f>IF(M78="Yes","🔴 BOTTOM",IF(M78="No","✓ Cleared",IF(Q78="MIN",IF(AND(ISNUMBER(F78),ISNUMBER(H78)),IF(H78&lt;F78*'Master Dashboard'!$B$4,"🔴 LOW",""),""),IF(Q78="MAX",IF(AND(ISNUMBER(F78),ISNUMBER(H78)),IF(H78&gt;F78,"🔴 HIGH",""),""),""))))</f>
        <v>🔴 LOW</v>
      </c>
      <c r="M78" s="54" t="s">
        <v>82</v>
      </c>
      <c r="N78" s="59" t="s">
        <v>83</v>
      </c>
      <c r="O78" s="60" t="s">
        <v>84</v>
      </c>
      <c r="P78" s="61" t="s">
        <v>615</v>
      </c>
      <c r="Q78" s="60" t="s">
        <v>110</v>
      </c>
      <c r="R78" s="60" t="s">
        <v>616</v>
      </c>
    </row>
    <row r="79" ht="15.75" customHeight="1">
      <c r="A79" s="48"/>
      <c r="B79" s="49"/>
      <c r="C79" s="50" t="s">
        <v>617</v>
      </c>
      <c r="D79" s="51" t="s">
        <v>201</v>
      </c>
      <c r="E79" s="62">
        <v>69750.0</v>
      </c>
      <c r="F79" s="63">
        <v>6975.0</v>
      </c>
      <c r="G79" s="54"/>
      <c r="H79" s="55">
        <v>2425.0</v>
      </c>
      <c r="I79" s="56" t="str">
        <f t="shared" si="11"/>
        <v/>
      </c>
      <c r="J79" s="57">
        <f t="shared" si="12"/>
        <v>0.03476702509</v>
      </c>
      <c r="K79" s="54" t="s">
        <v>9</v>
      </c>
      <c r="L79" s="58" t="str">
        <f>IF(M79="Yes","🔴 BOTTOM",IF(M79="No","✓ Cleared",IF(Q79="MIN",IF(AND(ISNUMBER(F79),ISNUMBER(H79)),IF(H79&lt;F79*'Master Dashboard'!$B$4,"🔴 LOW",""),""),IF(Q79="MAX",IF(AND(ISNUMBER(F79),ISNUMBER(H79)),IF(H79&gt;F79,"🔴 HIGH",""),""),""))))</f>
        <v>🔴 LOW</v>
      </c>
      <c r="M79" s="54" t="s">
        <v>82</v>
      </c>
      <c r="N79" s="59" t="s">
        <v>83</v>
      </c>
      <c r="O79" s="60" t="s">
        <v>84</v>
      </c>
      <c r="P79" s="61" t="s">
        <v>618</v>
      </c>
      <c r="Q79" s="60" t="s">
        <v>110</v>
      </c>
      <c r="R79" s="60" t="s">
        <v>619</v>
      </c>
    </row>
    <row r="80" ht="15.75" customHeight="1">
      <c r="A80" s="48"/>
      <c r="B80" s="49"/>
      <c r="C80" s="50" t="s">
        <v>620</v>
      </c>
      <c r="D80" s="51" t="s">
        <v>201</v>
      </c>
      <c r="E80" s="62">
        <v>54500.0</v>
      </c>
      <c r="F80" s="63">
        <v>5450.0</v>
      </c>
      <c r="G80" s="54"/>
      <c r="H80" s="55">
        <v>4706.0</v>
      </c>
      <c r="I80" s="56" t="str">
        <f t="shared" si="11"/>
        <v/>
      </c>
      <c r="J80" s="57">
        <f t="shared" si="12"/>
        <v>0.08634862385</v>
      </c>
      <c r="K80" s="54" t="s">
        <v>9</v>
      </c>
      <c r="L80" s="58" t="str">
        <f>IF(M80="Yes","🔴 BOTTOM",IF(M80="No","✓ Cleared",IF(Q80="MIN",IF(AND(ISNUMBER(F80),ISNUMBER(H80)),IF(H80&lt;F80*'Master Dashboard'!$B$4,"🔴 LOW",""),""),IF(Q80="MAX",IF(AND(ISNUMBER(F80),ISNUMBER(H80)),IF(H80&gt;F80,"🔴 HIGH",""),""),""))))</f>
        <v>🔴 LOW</v>
      </c>
      <c r="M80" s="54" t="s">
        <v>82</v>
      </c>
      <c r="N80" s="59" t="s">
        <v>83</v>
      </c>
      <c r="O80" s="60" t="s">
        <v>84</v>
      </c>
      <c r="P80" s="61" t="s">
        <v>621</v>
      </c>
      <c r="Q80" s="60" t="s">
        <v>110</v>
      </c>
      <c r="R80" s="60" t="s">
        <v>622</v>
      </c>
    </row>
    <row r="81" ht="15.75" customHeight="1">
      <c r="A81" s="48"/>
      <c r="B81" s="49"/>
      <c r="C81" s="50" t="s">
        <v>623</v>
      </c>
      <c r="D81" s="51" t="s">
        <v>201</v>
      </c>
      <c r="E81" s="62">
        <v>48000.0</v>
      </c>
      <c r="F81" s="63">
        <v>4800.0</v>
      </c>
      <c r="G81" s="54"/>
      <c r="H81" s="55">
        <v>4405.0</v>
      </c>
      <c r="I81" s="56" t="str">
        <f t="shared" si="11"/>
        <v/>
      </c>
      <c r="J81" s="57">
        <f t="shared" si="12"/>
        <v>0.09177083333</v>
      </c>
      <c r="K81" s="54" t="s">
        <v>9</v>
      </c>
      <c r="L81" s="58" t="str">
        <f>IF(M81="Yes","🔴 BOTTOM",IF(M81="No","✓ Cleared",IF(Q81="MIN",IF(AND(ISNUMBER(F81),ISNUMBER(H81)),IF(H81&lt;F81*'Master Dashboard'!$B$4,"🔴 LOW",""),""),IF(Q81="MAX",IF(AND(ISNUMBER(F81),ISNUMBER(H81)),IF(H81&gt;F81,"🔴 HIGH",""),""),""))))</f>
        <v>🔴 LOW</v>
      </c>
      <c r="M81" s="54" t="s">
        <v>82</v>
      </c>
      <c r="N81" s="59" t="s">
        <v>83</v>
      </c>
      <c r="O81" s="60" t="s">
        <v>84</v>
      </c>
      <c r="P81" s="61" t="s">
        <v>624</v>
      </c>
      <c r="Q81" s="60" t="s">
        <v>110</v>
      </c>
      <c r="R81" s="60" t="s">
        <v>625</v>
      </c>
    </row>
    <row r="82" ht="15.75" customHeight="1">
      <c r="A82" s="48"/>
      <c r="B82" s="49"/>
      <c r="C82" s="50" t="s">
        <v>626</v>
      </c>
      <c r="D82" s="51" t="s">
        <v>201</v>
      </c>
      <c r="E82" s="62">
        <v>51750.0</v>
      </c>
      <c r="F82" s="63">
        <v>5175.0</v>
      </c>
      <c r="G82" s="54"/>
      <c r="H82" s="55">
        <v>13952.0</v>
      </c>
      <c r="I82" s="56" t="str">
        <f t="shared" si="11"/>
        <v/>
      </c>
      <c r="J82" s="57">
        <f t="shared" si="12"/>
        <v>0.2696038647</v>
      </c>
      <c r="K82" s="54" t="s">
        <v>9</v>
      </c>
      <c r="L82" s="58" t="str">
        <f>IF(M82="Yes","🔴 BOTTOM",IF(M82="No","✓ Cleared",IF(Q82="MIN",IF(AND(ISNUMBER(F82),ISNUMBER(H82)),IF(H82&lt;F82*'Master Dashboard'!$B$4,"🔴 LOW",""),""),IF(Q82="MAX",IF(AND(ISNUMBER(F82),ISNUMBER(H82)),IF(H82&gt;F82,"🔴 HIGH",""),""),""))))</f>
        <v/>
      </c>
      <c r="M82" s="54" t="s">
        <v>82</v>
      </c>
      <c r="N82" s="59" t="s">
        <v>83</v>
      </c>
      <c r="O82" s="60" t="s">
        <v>84</v>
      </c>
      <c r="P82" s="61" t="s">
        <v>627</v>
      </c>
      <c r="Q82" s="60" t="s">
        <v>110</v>
      </c>
      <c r="R82" s="60" t="s">
        <v>628</v>
      </c>
    </row>
    <row r="83" ht="15.75" customHeight="1">
      <c r="A83" s="48"/>
      <c r="B83" s="49"/>
      <c r="C83" s="50" t="s">
        <v>629</v>
      </c>
      <c r="D83" s="51" t="s">
        <v>201</v>
      </c>
      <c r="E83" s="62">
        <v>43500.0</v>
      </c>
      <c r="F83" s="63">
        <v>4350.0</v>
      </c>
      <c r="G83" s="54"/>
      <c r="H83" s="55">
        <v>199.0</v>
      </c>
      <c r="I83" s="56" t="str">
        <f t="shared" si="11"/>
        <v/>
      </c>
      <c r="J83" s="57">
        <f t="shared" si="12"/>
        <v>0.004574712644</v>
      </c>
      <c r="K83" s="54" t="s">
        <v>9</v>
      </c>
      <c r="L83" s="58" t="str">
        <f>IF(M83="Yes","🔴 BOTTOM",IF(M83="No","✓ Cleared",IF(Q83="MIN",IF(AND(ISNUMBER(F83),ISNUMBER(H83)),IF(H83&lt;F83*'Master Dashboard'!$B$4,"🔴 LOW",""),""),IF(Q83="MAX",IF(AND(ISNUMBER(F83),ISNUMBER(H83)),IF(H83&gt;F83,"🔴 HIGH",""),""),""))))</f>
        <v>🔴 LOW</v>
      </c>
      <c r="M83" s="54" t="s">
        <v>82</v>
      </c>
      <c r="N83" s="59" t="s">
        <v>83</v>
      </c>
      <c r="O83" s="60" t="s">
        <v>84</v>
      </c>
      <c r="P83" s="61" t="s">
        <v>630</v>
      </c>
      <c r="Q83" s="60" t="s">
        <v>110</v>
      </c>
      <c r="R83" s="60" t="s">
        <v>631</v>
      </c>
    </row>
    <row r="84" ht="15.75" customHeight="1">
      <c r="A84" s="48"/>
      <c r="B84" s="49"/>
      <c r="C84" s="50" t="s">
        <v>632</v>
      </c>
      <c r="D84" s="51" t="s">
        <v>201</v>
      </c>
      <c r="E84" s="62">
        <v>44500.0</v>
      </c>
      <c r="F84" s="63">
        <v>4450.0</v>
      </c>
      <c r="G84" s="54"/>
      <c r="H84" s="55">
        <v>465.0</v>
      </c>
      <c r="I84" s="56" t="str">
        <f t="shared" si="11"/>
        <v/>
      </c>
      <c r="J84" s="57">
        <f t="shared" si="12"/>
        <v>0.0104494382</v>
      </c>
      <c r="K84" s="54" t="s">
        <v>9</v>
      </c>
      <c r="L84" s="58" t="str">
        <f>IF(M84="Yes","🔴 BOTTOM",IF(M84="No","✓ Cleared",IF(Q84="MIN",IF(AND(ISNUMBER(F84),ISNUMBER(H84)),IF(H84&lt;F84*'Master Dashboard'!$B$4,"🔴 LOW",""),""),IF(Q84="MAX",IF(AND(ISNUMBER(F84),ISNUMBER(H84)),IF(H84&gt;F84,"🔴 HIGH",""),""),""))))</f>
        <v>🔴 LOW</v>
      </c>
      <c r="M84" s="54" t="s">
        <v>82</v>
      </c>
      <c r="N84" s="59" t="s">
        <v>83</v>
      </c>
      <c r="O84" s="60" t="s">
        <v>84</v>
      </c>
      <c r="P84" s="61" t="s">
        <v>633</v>
      </c>
      <c r="Q84" s="60" t="s">
        <v>110</v>
      </c>
      <c r="R84" s="60" t="s">
        <v>634</v>
      </c>
    </row>
    <row r="85" ht="15.75" customHeight="1">
      <c r="A85" s="48"/>
      <c r="B85" s="49"/>
      <c r="C85" s="50" t="s">
        <v>635</v>
      </c>
      <c r="D85" s="51" t="s">
        <v>201</v>
      </c>
      <c r="E85" s="62">
        <v>48000.0</v>
      </c>
      <c r="F85" s="63">
        <v>4800.0</v>
      </c>
      <c r="G85" s="54"/>
      <c r="H85" s="55">
        <v>288.0</v>
      </c>
      <c r="I85" s="56" t="str">
        <f t="shared" si="11"/>
        <v/>
      </c>
      <c r="J85" s="57">
        <f t="shared" si="12"/>
        <v>0.006</v>
      </c>
      <c r="K85" s="54" t="s">
        <v>9</v>
      </c>
      <c r="L85" s="58" t="str">
        <f>IF(M85="Yes","🔴 BOTTOM",IF(M85="No","✓ Cleared",IF(Q85="MIN",IF(AND(ISNUMBER(F85),ISNUMBER(H85)),IF(H85&lt;F85*'Master Dashboard'!$B$4,"🔴 LOW",""),""),IF(Q85="MAX",IF(AND(ISNUMBER(F85),ISNUMBER(H85)),IF(H85&gt;F85,"🔴 HIGH",""),""),""))))</f>
        <v>🔴 LOW</v>
      </c>
      <c r="M85" s="54" t="s">
        <v>82</v>
      </c>
      <c r="N85" s="59" t="s">
        <v>83</v>
      </c>
      <c r="O85" s="60" t="s">
        <v>84</v>
      </c>
      <c r="P85" s="61" t="s">
        <v>636</v>
      </c>
      <c r="Q85" s="60" t="s">
        <v>110</v>
      </c>
      <c r="R85" s="60" t="s">
        <v>637</v>
      </c>
    </row>
    <row r="86" ht="15.75" customHeight="1">
      <c r="A86" s="48"/>
      <c r="B86" s="49"/>
      <c r="C86" s="50" t="s">
        <v>638</v>
      </c>
      <c r="D86" s="51" t="s">
        <v>201</v>
      </c>
      <c r="E86" s="62">
        <v>50250.0</v>
      </c>
      <c r="F86" s="63">
        <v>5025.0</v>
      </c>
      <c r="G86" s="54"/>
      <c r="H86" s="55">
        <v>164.0</v>
      </c>
      <c r="I86" s="56" t="str">
        <f t="shared" si="11"/>
        <v/>
      </c>
      <c r="J86" s="57">
        <f t="shared" si="12"/>
        <v>0.003263681592</v>
      </c>
      <c r="K86" s="54" t="s">
        <v>9</v>
      </c>
      <c r="L86" s="58" t="str">
        <f>IF(M86="Yes","🔴 BOTTOM",IF(M86="No","✓ Cleared",IF(Q86="MIN",IF(AND(ISNUMBER(F86),ISNUMBER(H86)),IF(H86&lt;F86*'Master Dashboard'!$B$4,"🔴 LOW",""),""),IF(Q86="MAX",IF(AND(ISNUMBER(F86),ISNUMBER(H86)),IF(H86&gt;F86,"🔴 HIGH",""),""),""))))</f>
        <v>🔴 LOW</v>
      </c>
      <c r="M86" s="54" t="s">
        <v>82</v>
      </c>
      <c r="N86" s="59" t="s">
        <v>83</v>
      </c>
      <c r="O86" s="60" t="s">
        <v>84</v>
      </c>
      <c r="P86" s="61" t="s">
        <v>639</v>
      </c>
      <c r="Q86" s="60" t="s">
        <v>110</v>
      </c>
      <c r="R86" s="60" t="s">
        <v>640</v>
      </c>
    </row>
    <row r="87" ht="15.75" customHeight="1">
      <c r="A87" s="48"/>
      <c r="B87" s="49"/>
      <c r="C87" s="50" t="s">
        <v>641</v>
      </c>
      <c r="D87" s="51" t="s">
        <v>201</v>
      </c>
      <c r="E87" s="62">
        <v>41750.0</v>
      </c>
      <c r="F87" s="63">
        <v>4175.0</v>
      </c>
      <c r="G87" s="54"/>
      <c r="H87" s="55">
        <v>3686.0</v>
      </c>
      <c r="I87" s="56" t="str">
        <f t="shared" si="11"/>
        <v/>
      </c>
      <c r="J87" s="57">
        <f t="shared" si="12"/>
        <v>0.08828742515</v>
      </c>
      <c r="K87" s="54" t="s">
        <v>9</v>
      </c>
      <c r="L87" s="58" t="str">
        <f>IF(M87="Yes","🔴 BOTTOM",IF(M87="No","✓ Cleared",IF(Q87="MIN",IF(AND(ISNUMBER(F87),ISNUMBER(H87)),IF(H87&lt;F87*'Master Dashboard'!$B$4,"🔴 LOW",""),""),IF(Q87="MAX",IF(AND(ISNUMBER(F87),ISNUMBER(H87)),IF(H87&gt;F87,"🔴 HIGH",""),""),""))))</f>
        <v>🔴 LOW</v>
      </c>
      <c r="M87" s="54" t="s">
        <v>82</v>
      </c>
      <c r="N87" s="59" t="s">
        <v>83</v>
      </c>
      <c r="O87" s="60" t="s">
        <v>84</v>
      </c>
      <c r="P87" s="61" t="s">
        <v>642</v>
      </c>
      <c r="Q87" s="60" t="s">
        <v>110</v>
      </c>
      <c r="R87" s="60" t="s">
        <v>643</v>
      </c>
    </row>
    <row r="88" ht="19.5" customHeight="1">
      <c r="A88" s="67" t="s">
        <v>360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</row>
    <row r="89" ht="15.75" customHeight="1">
      <c r="A89" s="35">
        <v>9.0</v>
      </c>
      <c r="B89" s="36" t="s">
        <v>644</v>
      </c>
      <c r="C89" s="50" t="s">
        <v>645</v>
      </c>
      <c r="D89" s="51" t="s">
        <v>367</v>
      </c>
      <c r="E89" s="52"/>
      <c r="F89" s="53"/>
      <c r="G89" s="54"/>
      <c r="H89" s="71"/>
      <c r="I89" s="56" t="str">
        <f t="shared" ref="I89:I91" si="13">IF(AND(ISNUMBER(G89),ISNUMBER(H89)),H89-G89,"")</f>
        <v/>
      </c>
      <c r="J89" s="57" t="str">
        <f t="shared" ref="J89:J91" si="14">IF(AND(ISNUMBER(E89),E89&gt;0,ISNUMBER(H89)),H89/E89,"")</f>
        <v/>
      </c>
      <c r="K89" s="54" t="s">
        <v>9</v>
      </c>
      <c r="L89" s="58" t="str">
        <f>IF(M89="Yes","🔴 BOTTOM",IF(M89="No","✓ Cleared",IF(Q89="MIN",IF(AND(ISNUMBER(F89),ISNUMBER(H89)),IF(H89&lt;F89*'Master Dashboard'!$B$4,"🔴 LOW",""),""),IF(Q89="MAX",IF(AND(ISNUMBER(F89),ISNUMBER(H89)),IF(H89&gt;F89,"🔴 HIGH",""),""),""))))</f>
        <v/>
      </c>
      <c r="M89" s="54" t="s">
        <v>82</v>
      </c>
      <c r="N89" s="59"/>
      <c r="O89" s="60"/>
      <c r="P89" s="61" t="s">
        <v>646</v>
      </c>
      <c r="Q89" s="60"/>
      <c r="R89" s="60" t="s">
        <v>647</v>
      </c>
    </row>
    <row r="90" ht="15.75" customHeight="1">
      <c r="A90" s="35">
        <v>10.0</v>
      </c>
      <c r="B90" s="36" t="s">
        <v>648</v>
      </c>
      <c r="C90" s="50" t="s">
        <v>649</v>
      </c>
      <c r="D90" s="51" t="s">
        <v>650</v>
      </c>
      <c r="E90" s="62">
        <v>18.0</v>
      </c>
      <c r="F90" s="63">
        <v>18.0</v>
      </c>
      <c r="G90" s="54"/>
      <c r="H90" s="55">
        <v>10.0</v>
      </c>
      <c r="I90" s="56" t="str">
        <f t="shared" si="13"/>
        <v/>
      </c>
      <c r="J90" s="57">
        <f t="shared" si="14"/>
        <v>0.5555555556</v>
      </c>
      <c r="K90" s="54" t="s">
        <v>9</v>
      </c>
      <c r="L90" s="58" t="str">
        <f>IF(M90="Yes","🔴 BOTTOM",IF(M90="No","✓ Cleared",IF(Q90="MIN",IF(AND(ISNUMBER(F90),ISNUMBER(H90)),IF(H90&lt;F90*'Master Dashboard'!$B$4,"🔴 LOW",""),""),IF(Q90="MAX",IF(AND(ISNUMBER(F90),ISNUMBER(H90)),IF(H90&gt;F90,"🔴 HIGH",""),""),""))))</f>
        <v>🔴 LOW</v>
      </c>
      <c r="M90" s="54" t="s">
        <v>82</v>
      </c>
      <c r="N90" s="59" t="s">
        <v>83</v>
      </c>
      <c r="O90" s="60" t="s">
        <v>84</v>
      </c>
      <c r="P90" s="61" t="s">
        <v>651</v>
      </c>
      <c r="Q90" s="60" t="s">
        <v>110</v>
      </c>
      <c r="R90" s="60" t="s">
        <v>652</v>
      </c>
    </row>
    <row r="91" ht="15.75" customHeight="1">
      <c r="A91" s="48"/>
      <c r="B91" s="49"/>
      <c r="C91" s="50" t="s">
        <v>653</v>
      </c>
      <c r="D91" s="51" t="s">
        <v>380</v>
      </c>
      <c r="E91" s="52"/>
      <c r="F91" s="53"/>
      <c r="G91" s="54"/>
      <c r="H91" s="71"/>
      <c r="I91" s="56" t="str">
        <f t="shared" si="13"/>
        <v/>
      </c>
      <c r="J91" s="57" t="str">
        <f t="shared" si="14"/>
        <v/>
      </c>
      <c r="K91" s="54" t="s">
        <v>10</v>
      </c>
      <c r="L91" s="58" t="str">
        <f>IF(M91="Yes","🔴 BOTTOM",IF(M91="No","✓ Cleared",IF(Q91="MIN",IF(AND(ISNUMBER(F91),ISNUMBER(H91)),IF(H91&lt;F91*'Master Dashboard'!$B$4,"🔴 LOW",""),""),IF(Q91="MAX",IF(AND(ISNUMBER(F91),ISNUMBER(H91)),IF(H91&gt;F91,"🔴 HIGH",""),""),""))))</f>
        <v/>
      </c>
      <c r="M91" s="54" t="s">
        <v>82</v>
      </c>
      <c r="N91" s="59"/>
      <c r="O91" s="60"/>
      <c r="P91" s="61" t="s">
        <v>654</v>
      </c>
      <c r="Q91" s="60"/>
      <c r="R91" s="60" t="s">
        <v>655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91"/>
  <mergeCells count="3">
    <mergeCell ref="A1:P1"/>
    <mergeCell ref="A3:P3"/>
    <mergeCell ref="A88:P88"/>
  </mergeCells>
  <conditionalFormatting sqref="K3:K91">
    <cfRule type="cellIs" dxfId="0" priority="1" operator="equal">
      <formula>"Completed"</formula>
    </cfRule>
  </conditionalFormatting>
  <conditionalFormatting sqref="K3:K91">
    <cfRule type="cellIs" dxfId="1" priority="2" operator="equal">
      <formula>"On Track"</formula>
    </cfRule>
  </conditionalFormatting>
  <conditionalFormatting sqref="K3:K91">
    <cfRule type="cellIs" dxfId="2" priority="3" operator="equal">
      <formula>"In Progress"</formula>
    </cfRule>
  </conditionalFormatting>
  <conditionalFormatting sqref="K3:K91">
    <cfRule type="cellIs" dxfId="3" priority="4" operator="equal">
      <formula>"Pending/Blocked"</formula>
    </cfRule>
  </conditionalFormatting>
  <conditionalFormatting sqref="K3:K91">
    <cfRule type="cellIs" dxfId="4" priority="5" operator="equal">
      <formula>"Not Started"</formula>
    </cfRule>
  </conditionalFormatting>
  <conditionalFormatting sqref="L3:L91">
    <cfRule type="expression" dxfId="5" priority="6">
      <formula>ISNUMBER(SEARCH("BOTTOM",L3))</formula>
    </cfRule>
  </conditionalFormatting>
  <conditionalFormatting sqref="L3:L91">
    <cfRule type="expression" dxfId="6" priority="7">
      <formula>OR(ISNUMBER(SEARCH("LOW",L3)),ISNUMBER(SEARCH("HIGH",L3)))</formula>
    </cfRule>
  </conditionalFormatting>
  <conditionalFormatting sqref="L3:L91">
    <cfRule type="expression" dxfId="0" priority="8">
      <formula>ISNUMBER(SEARCH("Cleared",L3))</formula>
    </cfRule>
  </conditionalFormatting>
  <dataValidations>
    <dataValidation type="list" allowBlank="1" sqref="K4:K87 K89:K91">
      <formula1>"Not Started,In Progress,Pending/Blocked,On Track,Completed"</formula1>
    </dataValidation>
    <dataValidation type="list" allowBlank="1" sqref="M4:M87 M89:M91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656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657</v>
      </c>
      <c r="C4" s="50" t="s">
        <v>658</v>
      </c>
      <c r="D4" s="51" t="s">
        <v>659</v>
      </c>
      <c r="E4" s="52"/>
      <c r="F4" s="53"/>
      <c r="G4" s="54"/>
      <c r="H4" s="55">
        <v>0.0</v>
      </c>
      <c r="I4" s="56" t="str">
        <f t="shared" ref="I4:I12" si="1">IF(AND(ISNUMBER(G4),ISNUMBER(H4)),H4-G4,"")</f>
        <v/>
      </c>
      <c r="J4" s="57" t="str">
        <f t="shared" ref="J4:J12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 t="s">
        <v>83</v>
      </c>
      <c r="O4" s="60" t="s">
        <v>84</v>
      </c>
      <c r="P4" s="61" t="s">
        <v>660</v>
      </c>
      <c r="Q4" s="60"/>
      <c r="R4" s="60" t="s">
        <v>661</v>
      </c>
    </row>
    <row r="5">
      <c r="A5" s="48"/>
      <c r="B5" s="49"/>
      <c r="C5" s="50" t="s">
        <v>662</v>
      </c>
      <c r="D5" s="51" t="s">
        <v>380</v>
      </c>
      <c r="E5" s="52"/>
      <c r="F5" s="53"/>
      <c r="G5" s="54"/>
      <c r="H5" s="71"/>
      <c r="I5" s="56" t="str">
        <f t="shared" si="1"/>
        <v/>
      </c>
      <c r="J5" s="57" t="str">
        <f t="shared" si="2"/>
        <v/>
      </c>
      <c r="K5" s="54" t="s">
        <v>9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/>
      <c r="Q5" s="60"/>
      <c r="R5" s="60" t="s">
        <v>663</v>
      </c>
    </row>
    <row r="6">
      <c r="A6" s="35">
        <v>2.0</v>
      </c>
      <c r="B6" s="36" t="s">
        <v>664</v>
      </c>
      <c r="C6" s="50" t="s">
        <v>665</v>
      </c>
      <c r="D6" s="51" t="s">
        <v>371</v>
      </c>
      <c r="E6" s="52"/>
      <c r="F6" s="53"/>
      <c r="G6" s="54"/>
      <c r="H6" s="55">
        <v>6.0</v>
      </c>
      <c r="I6" s="56" t="str">
        <f t="shared" si="1"/>
        <v/>
      </c>
      <c r="J6" s="57" t="str">
        <f t="shared" si="2"/>
        <v/>
      </c>
      <c r="K6" s="54" t="s">
        <v>9</v>
      </c>
      <c r="L6" s="73" t="s">
        <v>666</v>
      </c>
      <c r="M6" s="54" t="s">
        <v>82</v>
      </c>
      <c r="N6" s="59" t="s">
        <v>83</v>
      </c>
      <c r="O6" s="60" t="s">
        <v>84</v>
      </c>
      <c r="P6" s="61" t="s">
        <v>667</v>
      </c>
      <c r="Q6" s="60"/>
      <c r="R6" s="60" t="s">
        <v>668</v>
      </c>
    </row>
    <row r="7">
      <c r="A7" s="48"/>
      <c r="B7" s="49"/>
      <c r="C7" s="50" t="s">
        <v>669</v>
      </c>
      <c r="D7" s="51" t="s">
        <v>371</v>
      </c>
      <c r="E7" s="62">
        <v>21.0</v>
      </c>
      <c r="F7" s="63">
        <v>21.0</v>
      </c>
      <c r="G7" s="54"/>
      <c r="H7" s="55">
        <v>16.0</v>
      </c>
      <c r="I7" s="56" t="str">
        <f t="shared" si="1"/>
        <v/>
      </c>
      <c r="J7" s="57">
        <f t="shared" si="2"/>
        <v>0.7619047619</v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LOW</v>
      </c>
      <c r="M7" s="54" t="s">
        <v>82</v>
      </c>
      <c r="N7" s="59" t="s">
        <v>83</v>
      </c>
      <c r="O7" s="60" t="s">
        <v>84</v>
      </c>
      <c r="P7" s="61" t="s">
        <v>670</v>
      </c>
      <c r="Q7" s="60" t="s">
        <v>110</v>
      </c>
      <c r="R7" s="60" t="s">
        <v>671</v>
      </c>
    </row>
    <row r="8">
      <c r="A8" s="48"/>
      <c r="B8" s="49"/>
      <c r="C8" s="50" t="s">
        <v>672</v>
      </c>
      <c r="D8" s="51" t="s">
        <v>380</v>
      </c>
      <c r="E8" s="52"/>
      <c r="F8" s="53"/>
      <c r="G8" s="54"/>
      <c r="H8" s="71"/>
      <c r="I8" s="56" t="str">
        <f t="shared" si="1"/>
        <v/>
      </c>
      <c r="J8" s="57" t="str">
        <f t="shared" si="2"/>
        <v/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673</v>
      </c>
      <c r="Q8" s="60"/>
      <c r="R8" s="60" t="s">
        <v>674</v>
      </c>
    </row>
    <row r="9">
      <c r="A9" s="48"/>
      <c r="B9" s="49"/>
      <c r="C9" s="50" t="s">
        <v>675</v>
      </c>
      <c r="D9" s="51" t="s">
        <v>380</v>
      </c>
      <c r="E9" s="52"/>
      <c r="F9" s="53"/>
      <c r="G9" s="54"/>
      <c r="H9" s="71"/>
      <c r="I9" s="56" t="str">
        <f t="shared" si="1"/>
        <v/>
      </c>
      <c r="J9" s="57" t="str">
        <f t="shared" si="2"/>
        <v/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/>
      <c r="O9" s="60"/>
      <c r="P9" s="61" t="s">
        <v>676</v>
      </c>
      <c r="Q9" s="60"/>
      <c r="R9" s="60" t="s">
        <v>677</v>
      </c>
    </row>
    <row r="10">
      <c r="A10" s="35">
        <v>3.0</v>
      </c>
      <c r="B10" s="36" t="s">
        <v>678</v>
      </c>
      <c r="C10" s="50" t="s">
        <v>679</v>
      </c>
      <c r="D10" s="51" t="s">
        <v>168</v>
      </c>
      <c r="E10" s="62">
        <v>0.0</v>
      </c>
      <c r="F10" s="63">
        <v>0.0</v>
      </c>
      <c r="G10" s="54"/>
      <c r="H10" s="55">
        <v>3.0</v>
      </c>
      <c r="I10" s="56" t="str">
        <f t="shared" si="1"/>
        <v/>
      </c>
      <c r="J10" s="57" t="str">
        <f t="shared" si="2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>🔴 HIGH</v>
      </c>
      <c r="M10" s="54" t="s">
        <v>82</v>
      </c>
      <c r="N10" s="59" t="s">
        <v>83</v>
      </c>
      <c r="O10" s="60" t="s">
        <v>84</v>
      </c>
      <c r="P10" s="61" t="s">
        <v>680</v>
      </c>
      <c r="Q10" s="60" t="s">
        <v>114</v>
      </c>
      <c r="R10" s="60" t="s">
        <v>681</v>
      </c>
    </row>
    <row r="11">
      <c r="A11" s="48"/>
      <c r="B11" s="49"/>
      <c r="C11" s="50" t="s">
        <v>682</v>
      </c>
      <c r="D11" s="51" t="s">
        <v>367</v>
      </c>
      <c r="E11" s="52"/>
      <c r="F11" s="53"/>
      <c r="G11" s="54"/>
      <c r="H11" s="71"/>
      <c r="I11" s="56" t="str">
        <f t="shared" si="1"/>
        <v/>
      </c>
      <c r="J11" s="57" t="str">
        <f t="shared" si="2"/>
        <v/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/>
      <c r="O11" s="60"/>
      <c r="P11" s="61" t="s">
        <v>683</v>
      </c>
      <c r="Q11" s="60"/>
      <c r="R11" s="60" t="s">
        <v>684</v>
      </c>
    </row>
    <row r="12">
      <c r="A12" s="35">
        <v>4.0</v>
      </c>
      <c r="B12" s="36" t="s">
        <v>685</v>
      </c>
      <c r="C12" s="50" t="s">
        <v>686</v>
      </c>
      <c r="D12" s="51" t="s">
        <v>380</v>
      </c>
      <c r="E12" s="52"/>
      <c r="F12" s="53"/>
      <c r="G12" s="54"/>
      <c r="H12" s="71"/>
      <c r="I12" s="56" t="str">
        <f t="shared" si="1"/>
        <v/>
      </c>
      <c r="J12" s="57" t="str">
        <f t="shared" si="2"/>
        <v/>
      </c>
      <c r="K12" s="54" t="s">
        <v>10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/>
      <c r="O12" s="60"/>
      <c r="P12" s="61" t="s">
        <v>687</v>
      </c>
      <c r="Q12" s="60"/>
      <c r="R12" s="60" t="s">
        <v>688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2"/>
  <mergeCells count="2">
    <mergeCell ref="A1:P1"/>
    <mergeCell ref="A3:P3"/>
  </mergeCells>
  <conditionalFormatting sqref="K3:K12">
    <cfRule type="cellIs" dxfId="0" priority="1" operator="equal">
      <formula>"Completed"</formula>
    </cfRule>
  </conditionalFormatting>
  <conditionalFormatting sqref="K3:K12">
    <cfRule type="cellIs" dxfId="1" priority="2" operator="equal">
      <formula>"On Track"</formula>
    </cfRule>
  </conditionalFormatting>
  <conditionalFormatting sqref="K3:K12">
    <cfRule type="cellIs" dxfId="2" priority="3" operator="equal">
      <formula>"In Progress"</formula>
    </cfRule>
  </conditionalFormatting>
  <conditionalFormatting sqref="K3:K12">
    <cfRule type="cellIs" dxfId="3" priority="4" operator="equal">
      <formula>"Pending/Blocked"</formula>
    </cfRule>
  </conditionalFormatting>
  <conditionalFormatting sqref="K3:K12">
    <cfRule type="cellIs" dxfId="4" priority="5" operator="equal">
      <formula>"Not Started"</formula>
    </cfRule>
  </conditionalFormatting>
  <conditionalFormatting sqref="L3:L12">
    <cfRule type="expression" dxfId="5" priority="6">
      <formula>ISNUMBER(SEARCH("BOTTOM",L3))</formula>
    </cfRule>
  </conditionalFormatting>
  <conditionalFormatting sqref="L3:L12">
    <cfRule type="expression" dxfId="6" priority="7">
      <formula>OR(ISNUMBER(SEARCH("LOW",L3)),ISNUMBER(SEARCH("HIGH",L3)))</formula>
    </cfRule>
  </conditionalFormatting>
  <conditionalFormatting sqref="L3:L12">
    <cfRule type="expression" dxfId="0" priority="8">
      <formula>ISNUMBER(SEARCH("Cleared",L3))</formula>
    </cfRule>
  </conditionalFormatting>
  <dataValidations>
    <dataValidation type="list" allowBlank="1" sqref="K4:K12">
      <formula1>"Not Started,In Progress,Pending/Blocked,On Track,Completed"</formula1>
    </dataValidation>
    <dataValidation type="list" allowBlank="1" sqref="M4:M12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689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690</v>
      </c>
      <c r="C4" s="50" t="s">
        <v>691</v>
      </c>
      <c r="D4" s="51" t="s">
        <v>659</v>
      </c>
      <c r="E4" s="52"/>
      <c r="F4" s="53"/>
      <c r="G4" s="54"/>
      <c r="H4" s="71"/>
      <c r="I4" s="56" t="str">
        <f t="shared" ref="I4:I6" si="1">IF(AND(ISNUMBER(G4),ISNUMBER(H4)),H4-G4,"")</f>
        <v/>
      </c>
      <c r="J4" s="57" t="str">
        <f t="shared" ref="J4:J6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/>
      <c r="O4" s="60"/>
      <c r="P4" s="61" t="s">
        <v>692</v>
      </c>
      <c r="Q4" s="60"/>
      <c r="R4" s="60" t="s">
        <v>693</v>
      </c>
    </row>
    <row r="5">
      <c r="A5" s="48"/>
      <c r="B5" s="49"/>
      <c r="C5" s="50" t="s">
        <v>694</v>
      </c>
      <c r="D5" s="51" t="s">
        <v>371</v>
      </c>
      <c r="E5" s="62">
        <v>4.0</v>
      </c>
      <c r="F5" s="63">
        <v>4.0</v>
      </c>
      <c r="G5" s="54"/>
      <c r="H5" s="55">
        <v>4.0</v>
      </c>
      <c r="I5" s="56" t="str">
        <f t="shared" si="1"/>
        <v/>
      </c>
      <c r="J5" s="57">
        <f t="shared" si="2"/>
        <v>1</v>
      </c>
      <c r="K5" s="54" t="s">
        <v>9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 t="s">
        <v>83</v>
      </c>
      <c r="O5" s="60" t="s">
        <v>84</v>
      </c>
      <c r="P5" s="61" t="s">
        <v>695</v>
      </c>
      <c r="Q5" s="60" t="s">
        <v>110</v>
      </c>
      <c r="R5" s="60" t="s">
        <v>696</v>
      </c>
    </row>
    <row r="6">
      <c r="A6" s="48"/>
      <c r="B6" s="49"/>
      <c r="C6" s="50" t="s">
        <v>697</v>
      </c>
      <c r="D6" s="51" t="s">
        <v>380</v>
      </c>
      <c r="E6" s="52"/>
      <c r="F6" s="53"/>
      <c r="G6" s="54"/>
      <c r="H6" s="71"/>
      <c r="I6" s="56" t="str">
        <f t="shared" si="1"/>
        <v/>
      </c>
      <c r="J6" s="57" t="str">
        <f t="shared" si="2"/>
        <v/>
      </c>
      <c r="K6" s="54" t="s">
        <v>10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/>
      <c r="Q6" s="60"/>
      <c r="R6" s="60" t="s">
        <v>698</v>
      </c>
    </row>
    <row r="7">
      <c r="A7" s="35">
        <v>2.0</v>
      </c>
      <c r="B7" s="36" t="s">
        <v>699</v>
      </c>
      <c r="C7" s="37" t="s">
        <v>700</v>
      </c>
      <c r="D7" s="38"/>
      <c r="E7" s="39"/>
      <c r="F7" s="40"/>
      <c r="G7" s="41"/>
      <c r="H7" s="42">
        <v>7.0</v>
      </c>
      <c r="I7" s="43"/>
      <c r="J7" s="43"/>
      <c r="K7" s="43"/>
      <c r="L7" s="43"/>
      <c r="M7" s="43"/>
      <c r="N7" s="43"/>
      <c r="O7" s="43"/>
      <c r="P7" s="44" t="s">
        <v>701</v>
      </c>
      <c r="Q7" s="45"/>
      <c r="R7" s="45"/>
    </row>
    <row r="8">
      <c r="A8" s="48"/>
      <c r="B8" s="49"/>
      <c r="C8" s="50" t="s">
        <v>702</v>
      </c>
      <c r="D8" s="51" t="s">
        <v>449</v>
      </c>
      <c r="E8" s="62">
        <v>38.0</v>
      </c>
      <c r="F8" s="63">
        <v>38.0</v>
      </c>
      <c r="G8" s="54"/>
      <c r="H8" s="55">
        <v>7.0</v>
      </c>
      <c r="I8" s="56" t="str">
        <f t="shared" ref="I8:I16" si="3">IF(AND(ISNUMBER(G8),ISNUMBER(H8)),H8-G8,"")</f>
        <v/>
      </c>
      <c r="J8" s="57">
        <f t="shared" ref="J8:J16" si="4">IF(AND(ISNUMBER(E8),E8&gt;0,ISNUMBER(H8)),H8/E8,"")</f>
        <v>0.1842105263</v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>🔴 LOW</v>
      </c>
      <c r="M8" s="54" t="s">
        <v>82</v>
      </c>
      <c r="N8" s="59" t="s">
        <v>83</v>
      </c>
      <c r="O8" s="60" t="s">
        <v>84</v>
      </c>
      <c r="P8" s="61" t="s">
        <v>703</v>
      </c>
      <c r="Q8" s="60" t="s">
        <v>110</v>
      </c>
      <c r="R8" s="60" t="s">
        <v>704</v>
      </c>
    </row>
    <row r="9">
      <c r="A9" s="48"/>
      <c r="B9" s="49"/>
      <c r="C9" s="50" t="s">
        <v>705</v>
      </c>
      <c r="D9" s="51" t="s">
        <v>380</v>
      </c>
      <c r="E9" s="52"/>
      <c r="F9" s="53"/>
      <c r="G9" s="54"/>
      <c r="H9" s="71" t="s">
        <v>7</v>
      </c>
      <c r="I9" s="56" t="str">
        <f t="shared" si="3"/>
        <v/>
      </c>
      <c r="J9" s="57" t="str">
        <f t="shared" si="4"/>
        <v/>
      </c>
      <c r="K9" s="54" t="s">
        <v>7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 t="s">
        <v>83</v>
      </c>
      <c r="O9" s="60" t="s">
        <v>84</v>
      </c>
      <c r="P9" s="61" t="s">
        <v>706</v>
      </c>
      <c r="Q9" s="60"/>
      <c r="R9" s="60" t="s">
        <v>707</v>
      </c>
    </row>
    <row r="10">
      <c r="A10" s="48"/>
      <c r="B10" s="49"/>
      <c r="C10" s="50" t="s">
        <v>708</v>
      </c>
      <c r="D10" s="51" t="s">
        <v>380</v>
      </c>
      <c r="E10" s="52"/>
      <c r="F10" s="53"/>
      <c r="G10" s="54"/>
      <c r="H10" s="71"/>
      <c r="I10" s="56" t="str">
        <f t="shared" si="3"/>
        <v/>
      </c>
      <c r="J10" s="57" t="str">
        <f t="shared" si="4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/>
      <c r="O10" s="60"/>
      <c r="P10" s="61"/>
      <c r="Q10" s="60"/>
      <c r="R10" s="60" t="s">
        <v>709</v>
      </c>
    </row>
    <row r="11">
      <c r="A11" s="35">
        <v>3.0</v>
      </c>
      <c r="B11" s="36" t="s">
        <v>710</v>
      </c>
      <c r="C11" s="50" t="s">
        <v>711</v>
      </c>
      <c r="D11" s="51" t="s">
        <v>371</v>
      </c>
      <c r="E11" s="62">
        <v>0.0</v>
      </c>
      <c r="F11" s="63">
        <v>0.0</v>
      </c>
      <c r="G11" s="54"/>
      <c r="H11" s="55">
        <v>3.0</v>
      </c>
      <c r="I11" s="56" t="str">
        <f t="shared" si="3"/>
        <v/>
      </c>
      <c r="J11" s="57" t="str">
        <f t="shared" si="4"/>
        <v/>
      </c>
      <c r="K11" s="54" t="s">
        <v>10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>🔴 HIGH</v>
      </c>
      <c r="M11" s="54" t="s">
        <v>82</v>
      </c>
      <c r="N11" s="59" t="s">
        <v>83</v>
      </c>
      <c r="O11" s="60" t="s">
        <v>84</v>
      </c>
      <c r="P11" s="61" t="s">
        <v>712</v>
      </c>
      <c r="Q11" s="60" t="s">
        <v>114</v>
      </c>
      <c r="R11" s="60" t="s">
        <v>713</v>
      </c>
    </row>
    <row r="12">
      <c r="A12" s="48"/>
      <c r="B12" s="49"/>
      <c r="C12" s="50" t="s">
        <v>714</v>
      </c>
      <c r="D12" s="51" t="s">
        <v>371</v>
      </c>
      <c r="E12" s="62">
        <v>0.0</v>
      </c>
      <c r="F12" s="63">
        <v>0.0</v>
      </c>
      <c r="G12" s="54"/>
      <c r="H12" s="55">
        <v>8.0</v>
      </c>
      <c r="I12" s="56" t="str">
        <f t="shared" si="3"/>
        <v/>
      </c>
      <c r="J12" s="57" t="str">
        <f t="shared" si="4"/>
        <v/>
      </c>
      <c r="K12" s="54" t="s">
        <v>10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>🔴 HIGH</v>
      </c>
      <c r="M12" s="54" t="s">
        <v>82</v>
      </c>
      <c r="N12" s="59" t="s">
        <v>83</v>
      </c>
      <c r="O12" s="60" t="s">
        <v>84</v>
      </c>
      <c r="P12" s="61" t="s">
        <v>715</v>
      </c>
      <c r="Q12" s="60" t="s">
        <v>114</v>
      </c>
      <c r="R12" s="60" t="s">
        <v>716</v>
      </c>
    </row>
    <row r="13">
      <c r="A13" s="48"/>
      <c r="B13" s="49"/>
      <c r="C13" s="50" t="s">
        <v>717</v>
      </c>
      <c r="D13" s="51" t="s">
        <v>380</v>
      </c>
      <c r="E13" s="52"/>
      <c r="F13" s="53"/>
      <c r="G13" s="54"/>
      <c r="H13" s="71"/>
      <c r="I13" s="56" t="str">
        <f t="shared" si="3"/>
        <v/>
      </c>
      <c r="J13" s="57" t="str">
        <f t="shared" si="4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/>
      </c>
      <c r="M13" s="54" t="s">
        <v>82</v>
      </c>
      <c r="N13" s="59"/>
      <c r="O13" s="60"/>
      <c r="P13" s="61" t="s">
        <v>718</v>
      </c>
      <c r="Q13" s="60"/>
      <c r="R13" s="60" t="s">
        <v>719</v>
      </c>
    </row>
    <row r="14">
      <c r="A14" s="35">
        <v>4.0</v>
      </c>
      <c r="B14" s="36" t="s">
        <v>720</v>
      </c>
      <c r="C14" s="50" t="s">
        <v>721</v>
      </c>
      <c r="D14" s="51" t="s">
        <v>367</v>
      </c>
      <c r="E14" s="52"/>
      <c r="F14" s="53"/>
      <c r="G14" s="54"/>
      <c r="H14" s="71"/>
      <c r="I14" s="56" t="str">
        <f t="shared" si="3"/>
        <v/>
      </c>
      <c r="J14" s="57" t="str">
        <f t="shared" si="4"/>
        <v/>
      </c>
      <c r="K14" s="54" t="s">
        <v>10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/>
      </c>
      <c r="M14" s="54" t="s">
        <v>82</v>
      </c>
      <c r="N14" s="59"/>
      <c r="O14" s="60"/>
      <c r="P14" s="61" t="s">
        <v>722</v>
      </c>
      <c r="Q14" s="60"/>
      <c r="R14" s="60" t="s">
        <v>723</v>
      </c>
    </row>
    <row r="15">
      <c r="A15" s="35">
        <v>5.0</v>
      </c>
      <c r="B15" s="36" t="s">
        <v>724</v>
      </c>
      <c r="C15" s="50" t="s">
        <v>725</v>
      </c>
      <c r="D15" s="51" t="s">
        <v>380</v>
      </c>
      <c r="E15" s="52"/>
      <c r="F15" s="53"/>
      <c r="G15" s="54"/>
      <c r="H15" s="71"/>
      <c r="I15" s="56" t="str">
        <f t="shared" si="3"/>
        <v/>
      </c>
      <c r="J15" s="57" t="str">
        <f t="shared" si="4"/>
        <v/>
      </c>
      <c r="K15" s="54" t="s">
        <v>10</v>
      </c>
      <c r="L15" s="58" t="str">
        <f>IF(M15="Yes","🔴 BOTTOM",IF(M15="No","✓ Cleared",IF(Q15="MIN",IF(AND(ISNUMBER(F15),ISNUMBER(H15)),IF(H15&lt;F15*'Master Dashboard'!$B$4,"🔴 LOW",""),""),IF(Q15="MAX",IF(AND(ISNUMBER(F15),ISNUMBER(H15)),IF(H15&gt;F15,"🔴 HIGH",""),""),""))))</f>
        <v/>
      </c>
      <c r="M15" s="54" t="s">
        <v>82</v>
      </c>
      <c r="N15" s="59"/>
      <c r="O15" s="60"/>
      <c r="P15" s="61" t="s">
        <v>726</v>
      </c>
      <c r="Q15" s="60"/>
      <c r="R15" s="60" t="s">
        <v>727</v>
      </c>
    </row>
    <row r="16">
      <c r="A16" s="35">
        <v>6.0</v>
      </c>
      <c r="B16" s="36" t="s">
        <v>728</v>
      </c>
      <c r="C16" s="50" t="s">
        <v>729</v>
      </c>
      <c r="D16" s="51" t="s">
        <v>367</v>
      </c>
      <c r="E16" s="52"/>
      <c r="F16" s="53"/>
      <c r="G16" s="54"/>
      <c r="H16" s="71"/>
      <c r="I16" s="56" t="str">
        <f t="shared" si="3"/>
        <v/>
      </c>
      <c r="J16" s="57" t="str">
        <f t="shared" si="4"/>
        <v/>
      </c>
      <c r="K16" s="54" t="s">
        <v>9</v>
      </c>
      <c r="L16" s="58" t="str">
        <f>IF(M16="Yes","🔴 BOTTOM",IF(M16="No","✓ Cleared",IF(Q16="MIN",IF(AND(ISNUMBER(F16),ISNUMBER(H16)),IF(H16&lt;F16*'Master Dashboard'!$B$4,"🔴 LOW",""),""),IF(Q16="MAX",IF(AND(ISNUMBER(F16),ISNUMBER(H16)),IF(H16&gt;F16,"🔴 HIGH",""),""),""))))</f>
        <v/>
      </c>
      <c r="M16" s="54" t="s">
        <v>82</v>
      </c>
      <c r="N16" s="59"/>
      <c r="O16" s="60"/>
      <c r="P16" s="61" t="s">
        <v>381</v>
      </c>
      <c r="Q16" s="60"/>
      <c r="R16" s="60" t="s">
        <v>730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6"/>
  <mergeCells count="2">
    <mergeCell ref="A1:P1"/>
    <mergeCell ref="A3:P3"/>
  </mergeCells>
  <conditionalFormatting sqref="K3:K16">
    <cfRule type="cellIs" dxfId="0" priority="1" operator="equal">
      <formula>"Completed"</formula>
    </cfRule>
  </conditionalFormatting>
  <conditionalFormatting sqref="K3:K16">
    <cfRule type="cellIs" dxfId="1" priority="2" operator="equal">
      <formula>"On Track"</formula>
    </cfRule>
  </conditionalFormatting>
  <conditionalFormatting sqref="K3:K16">
    <cfRule type="cellIs" dxfId="2" priority="3" operator="equal">
      <formula>"In Progress"</formula>
    </cfRule>
  </conditionalFormatting>
  <conditionalFormatting sqref="K3:K16">
    <cfRule type="cellIs" dxfId="3" priority="4" operator="equal">
      <formula>"Pending/Blocked"</formula>
    </cfRule>
  </conditionalFormatting>
  <conditionalFormatting sqref="K3:K16">
    <cfRule type="cellIs" dxfId="4" priority="5" operator="equal">
      <formula>"Not Started"</formula>
    </cfRule>
  </conditionalFormatting>
  <conditionalFormatting sqref="L3:L16">
    <cfRule type="expression" dxfId="5" priority="6">
      <formula>ISNUMBER(SEARCH("BOTTOM",L3))</formula>
    </cfRule>
  </conditionalFormatting>
  <conditionalFormatting sqref="L3:L16">
    <cfRule type="expression" dxfId="6" priority="7">
      <formula>OR(ISNUMBER(SEARCH("LOW",L3)),ISNUMBER(SEARCH("HIGH",L3)))</formula>
    </cfRule>
  </conditionalFormatting>
  <conditionalFormatting sqref="L3:L16">
    <cfRule type="expression" dxfId="0" priority="8">
      <formula>ISNUMBER(SEARCH("Cleared",L3))</formula>
    </cfRule>
  </conditionalFormatting>
  <dataValidations>
    <dataValidation type="list" allowBlank="1" sqref="K4:K16">
      <formula1>"Not Started,In Progress,Pending/Blocked,On Track,Completed"</formula1>
    </dataValidation>
    <dataValidation type="list" allowBlank="1" sqref="M4:M16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732</v>
      </c>
      <c r="C4" s="50" t="s">
        <v>733</v>
      </c>
      <c r="D4" s="51" t="s">
        <v>367</v>
      </c>
      <c r="E4" s="52"/>
      <c r="F4" s="53"/>
      <c r="G4" s="54"/>
      <c r="H4" s="71"/>
      <c r="I4" s="56" t="str">
        <f t="shared" ref="I4:I5" si="1">IF(AND(ISNUMBER(G4),ISNUMBER(H4)),H4-G4,"")</f>
        <v/>
      </c>
      <c r="J4" s="57" t="str">
        <f t="shared" ref="J4:J5" si="2">IF(AND(ISNUMBER(E4),E4&gt;0,ISNUMBER(H4)),H4/E4,"")</f>
        <v/>
      </c>
      <c r="K4" s="54" t="s">
        <v>10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/>
      <c r="O4" s="60"/>
      <c r="P4" s="61" t="s">
        <v>734</v>
      </c>
      <c r="Q4" s="60"/>
      <c r="R4" s="60" t="s">
        <v>735</v>
      </c>
    </row>
    <row r="5">
      <c r="A5" s="48"/>
      <c r="B5" s="49"/>
      <c r="C5" s="50" t="s">
        <v>736</v>
      </c>
      <c r="D5" s="51" t="s">
        <v>371</v>
      </c>
      <c r="E5" s="62">
        <v>0.0</v>
      </c>
      <c r="F5" s="63">
        <v>0.0</v>
      </c>
      <c r="G5" s="54"/>
      <c r="H5" s="71"/>
      <c r="I5" s="56" t="str">
        <f t="shared" si="1"/>
        <v/>
      </c>
      <c r="J5" s="57" t="str">
        <f t="shared" si="2"/>
        <v/>
      </c>
      <c r="K5" s="54" t="s">
        <v>9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 t="s">
        <v>737</v>
      </c>
      <c r="Q5" s="60" t="s">
        <v>114</v>
      </c>
      <c r="R5" s="60" t="s">
        <v>738</v>
      </c>
    </row>
    <row r="6">
      <c r="A6" s="35">
        <v>2.0</v>
      </c>
      <c r="B6" s="36" t="s">
        <v>739</v>
      </c>
      <c r="C6" s="37" t="s">
        <v>740</v>
      </c>
      <c r="D6" s="38"/>
      <c r="E6" s="39"/>
      <c r="F6" s="40"/>
      <c r="G6" s="41"/>
      <c r="H6" s="42">
        <v>51.0</v>
      </c>
      <c r="I6" s="43"/>
      <c r="J6" s="43"/>
      <c r="K6" s="43"/>
      <c r="L6" s="43"/>
      <c r="M6" s="43"/>
      <c r="N6" s="43"/>
      <c r="O6" s="43"/>
      <c r="P6" s="44" t="s">
        <v>741</v>
      </c>
      <c r="Q6" s="45"/>
      <c r="R6" s="45"/>
    </row>
    <row r="7">
      <c r="A7" s="48"/>
      <c r="B7" s="49"/>
      <c r="C7" s="50" t="s">
        <v>742</v>
      </c>
      <c r="D7" s="51" t="s">
        <v>388</v>
      </c>
      <c r="E7" s="62">
        <v>448.0</v>
      </c>
      <c r="F7" s="63">
        <v>448.0</v>
      </c>
      <c r="G7" s="54"/>
      <c r="H7" s="55">
        <v>51.0</v>
      </c>
      <c r="I7" s="56" t="str">
        <f>IF(AND(ISNUMBER(G7),ISNUMBER(H7)),H7-G7,"")</f>
        <v/>
      </c>
      <c r="J7" s="57">
        <f>IF(AND(ISNUMBER(E7),E7&gt;0,ISNUMBER(H7)),H7/E7,"")</f>
        <v>0.1138392857</v>
      </c>
      <c r="K7" s="54" t="s">
        <v>10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LOW</v>
      </c>
      <c r="M7" s="54" t="s">
        <v>82</v>
      </c>
      <c r="N7" s="59" t="s">
        <v>83</v>
      </c>
      <c r="O7" s="60" t="s">
        <v>84</v>
      </c>
      <c r="P7" s="61" t="s">
        <v>743</v>
      </c>
      <c r="Q7" s="60" t="s">
        <v>110</v>
      </c>
      <c r="R7" s="60" t="s">
        <v>744</v>
      </c>
    </row>
    <row r="8">
      <c r="A8" s="35">
        <v>3.0</v>
      </c>
      <c r="B8" s="36" t="s">
        <v>745</v>
      </c>
      <c r="C8" s="37" t="s">
        <v>746</v>
      </c>
      <c r="D8" s="38"/>
      <c r="E8" s="39"/>
      <c r="F8" s="40"/>
      <c r="G8" s="41"/>
      <c r="H8" s="42">
        <v>2.0</v>
      </c>
      <c r="I8" s="43"/>
      <c r="J8" s="43"/>
      <c r="K8" s="43"/>
      <c r="L8" s="43"/>
      <c r="M8" s="43"/>
      <c r="N8" s="43"/>
      <c r="O8" s="43"/>
      <c r="P8" s="44" t="s">
        <v>747</v>
      </c>
      <c r="Q8" s="45"/>
      <c r="R8" s="45"/>
    </row>
    <row r="9">
      <c r="A9" s="48"/>
      <c r="B9" s="49"/>
      <c r="C9" s="50" t="s">
        <v>748</v>
      </c>
      <c r="D9" s="51" t="s">
        <v>449</v>
      </c>
      <c r="E9" s="62">
        <v>18.0</v>
      </c>
      <c r="F9" s="63">
        <v>18.0</v>
      </c>
      <c r="G9" s="54"/>
      <c r="H9" s="55">
        <v>2.0</v>
      </c>
      <c r="I9" s="56" t="str">
        <f t="shared" ref="I9:I15" si="3">IF(AND(ISNUMBER(G9),ISNUMBER(H9)),H9-G9,"")</f>
        <v/>
      </c>
      <c r="J9" s="57">
        <f t="shared" ref="J9:J15" si="4">IF(AND(ISNUMBER(E9),E9&gt;0,ISNUMBER(H9)),H9/E9,"")</f>
        <v>0.1111111111</v>
      </c>
      <c r="K9" s="54" t="s">
        <v>10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>🔴 LOW</v>
      </c>
      <c r="M9" s="54" t="s">
        <v>82</v>
      </c>
      <c r="N9" s="59" t="s">
        <v>83</v>
      </c>
      <c r="O9" s="60" t="s">
        <v>84</v>
      </c>
      <c r="P9" s="61" t="s">
        <v>749</v>
      </c>
      <c r="Q9" s="60" t="s">
        <v>110</v>
      </c>
      <c r="R9" s="60" t="s">
        <v>750</v>
      </c>
    </row>
    <row r="10">
      <c r="A10" s="35">
        <v>4.0</v>
      </c>
      <c r="B10" s="36" t="s">
        <v>751</v>
      </c>
      <c r="C10" s="50" t="s">
        <v>752</v>
      </c>
      <c r="D10" s="51" t="s">
        <v>168</v>
      </c>
      <c r="E10" s="62">
        <v>1.0</v>
      </c>
      <c r="F10" s="63">
        <v>1.0</v>
      </c>
      <c r="G10" s="54"/>
      <c r="H10" s="55">
        <v>0.0</v>
      </c>
      <c r="I10" s="56" t="str">
        <f t="shared" si="3"/>
        <v/>
      </c>
      <c r="J10" s="57">
        <f t="shared" si="4"/>
        <v>0</v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>🔴 LOW</v>
      </c>
      <c r="M10" s="54" t="s">
        <v>82</v>
      </c>
      <c r="N10" s="59" t="s">
        <v>83</v>
      </c>
      <c r="O10" s="60" t="s">
        <v>84</v>
      </c>
      <c r="P10" s="61" t="s">
        <v>753</v>
      </c>
      <c r="Q10" s="60" t="s">
        <v>110</v>
      </c>
      <c r="R10" s="60" t="s">
        <v>754</v>
      </c>
    </row>
    <row r="11">
      <c r="A11" s="35">
        <v>5.0</v>
      </c>
      <c r="B11" s="36" t="s">
        <v>755</v>
      </c>
      <c r="C11" s="50" t="s">
        <v>756</v>
      </c>
      <c r="D11" s="51" t="s">
        <v>367</v>
      </c>
      <c r="E11" s="52"/>
      <c r="F11" s="53"/>
      <c r="G11" s="54"/>
      <c r="H11" s="71"/>
      <c r="I11" s="56" t="str">
        <f t="shared" si="3"/>
        <v/>
      </c>
      <c r="J11" s="57" t="str">
        <f t="shared" si="4"/>
        <v/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/>
      <c r="O11" s="60"/>
      <c r="P11" s="61" t="s">
        <v>757</v>
      </c>
      <c r="Q11" s="60"/>
      <c r="R11" s="60" t="s">
        <v>758</v>
      </c>
    </row>
    <row r="12">
      <c r="A12" s="35">
        <v>6.0</v>
      </c>
      <c r="B12" s="36" t="s">
        <v>759</v>
      </c>
      <c r="C12" s="50" t="s">
        <v>760</v>
      </c>
      <c r="D12" s="51" t="s">
        <v>761</v>
      </c>
      <c r="E12" s="62">
        <v>0.0</v>
      </c>
      <c r="F12" s="63">
        <v>0.0</v>
      </c>
      <c r="G12" s="54"/>
      <c r="H12" s="55">
        <v>5.0</v>
      </c>
      <c r="I12" s="56" t="str">
        <f t="shared" si="3"/>
        <v/>
      </c>
      <c r="J12" s="57" t="str">
        <f t="shared" si="4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>🔴 HIGH</v>
      </c>
      <c r="M12" s="54" t="s">
        <v>82</v>
      </c>
      <c r="N12" s="59" t="s">
        <v>83</v>
      </c>
      <c r="O12" s="60" t="s">
        <v>84</v>
      </c>
      <c r="P12" s="61" t="s">
        <v>762</v>
      </c>
      <c r="Q12" s="60" t="s">
        <v>114</v>
      </c>
      <c r="R12" s="60" t="s">
        <v>763</v>
      </c>
    </row>
    <row r="13">
      <c r="A13" s="35">
        <v>7.0</v>
      </c>
      <c r="B13" s="36" t="s">
        <v>764</v>
      </c>
      <c r="C13" s="50" t="s">
        <v>765</v>
      </c>
      <c r="D13" s="51" t="s">
        <v>392</v>
      </c>
      <c r="E13" s="62">
        <v>0.0</v>
      </c>
      <c r="F13" s="63">
        <v>0.0</v>
      </c>
      <c r="G13" s="54"/>
      <c r="H13" s="55">
        <v>3500.0</v>
      </c>
      <c r="I13" s="56" t="str">
        <f t="shared" si="3"/>
        <v/>
      </c>
      <c r="J13" s="57" t="str">
        <f t="shared" si="4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>🔴 HIGH</v>
      </c>
      <c r="M13" s="54" t="s">
        <v>82</v>
      </c>
      <c r="N13" s="59" t="s">
        <v>83</v>
      </c>
      <c r="O13" s="60" t="s">
        <v>84</v>
      </c>
      <c r="P13" s="61" t="s">
        <v>766</v>
      </c>
      <c r="Q13" s="60" t="s">
        <v>114</v>
      </c>
      <c r="R13" s="60" t="s">
        <v>767</v>
      </c>
    </row>
    <row r="14">
      <c r="A14" s="35">
        <v>8.0</v>
      </c>
      <c r="B14" s="36" t="s">
        <v>768</v>
      </c>
      <c r="C14" s="50" t="s">
        <v>769</v>
      </c>
      <c r="D14" s="51" t="s">
        <v>367</v>
      </c>
      <c r="E14" s="52"/>
      <c r="F14" s="53"/>
      <c r="G14" s="54"/>
      <c r="H14" s="71"/>
      <c r="I14" s="56" t="str">
        <f t="shared" si="3"/>
        <v/>
      </c>
      <c r="J14" s="57" t="str">
        <f t="shared" si="4"/>
        <v/>
      </c>
      <c r="K14" s="54" t="s">
        <v>9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/>
      </c>
      <c r="M14" s="54" t="s">
        <v>82</v>
      </c>
      <c r="N14" s="59"/>
      <c r="O14" s="60"/>
      <c r="P14" s="61" t="s">
        <v>770</v>
      </c>
      <c r="Q14" s="60"/>
      <c r="R14" s="60" t="s">
        <v>771</v>
      </c>
    </row>
    <row r="15">
      <c r="A15" s="35">
        <v>9.0</v>
      </c>
      <c r="B15" s="36" t="s">
        <v>772</v>
      </c>
      <c r="C15" s="50" t="s">
        <v>773</v>
      </c>
      <c r="D15" s="51" t="s">
        <v>367</v>
      </c>
      <c r="E15" s="52"/>
      <c r="F15" s="53"/>
      <c r="G15" s="54"/>
      <c r="H15" s="71"/>
      <c r="I15" s="56" t="str">
        <f t="shared" si="3"/>
        <v/>
      </c>
      <c r="J15" s="57" t="str">
        <f t="shared" si="4"/>
        <v/>
      </c>
      <c r="K15" s="54" t="s">
        <v>9</v>
      </c>
      <c r="L15" s="58" t="str">
        <f>IF(M15="Yes","🔴 BOTTOM",IF(M15="No","✓ Cleared",IF(Q15="MIN",IF(AND(ISNUMBER(F15),ISNUMBER(H15)),IF(H15&lt;F15*'Master Dashboard'!$B$4,"🔴 LOW",""),""),IF(Q15="MAX",IF(AND(ISNUMBER(F15),ISNUMBER(H15)),IF(H15&gt;F15,"🔴 HIGH",""),""),""))))</f>
        <v/>
      </c>
      <c r="M15" s="54" t="s">
        <v>82</v>
      </c>
      <c r="N15" s="59"/>
      <c r="O15" s="60"/>
      <c r="P15" s="61" t="s">
        <v>774</v>
      </c>
      <c r="Q15" s="60"/>
      <c r="R15" s="60" t="s">
        <v>775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5"/>
  <mergeCells count="2">
    <mergeCell ref="A1:P1"/>
    <mergeCell ref="A3:P3"/>
  </mergeCells>
  <conditionalFormatting sqref="K3:K15">
    <cfRule type="cellIs" dxfId="0" priority="1" operator="equal">
      <formula>"Completed"</formula>
    </cfRule>
  </conditionalFormatting>
  <conditionalFormatting sqref="K3:K15">
    <cfRule type="cellIs" dxfId="1" priority="2" operator="equal">
      <formula>"On Track"</formula>
    </cfRule>
  </conditionalFormatting>
  <conditionalFormatting sqref="K3:K15">
    <cfRule type="cellIs" dxfId="2" priority="3" operator="equal">
      <formula>"In Progress"</formula>
    </cfRule>
  </conditionalFormatting>
  <conditionalFormatting sqref="K3:K15">
    <cfRule type="cellIs" dxfId="3" priority="4" operator="equal">
      <formula>"Pending/Blocked"</formula>
    </cfRule>
  </conditionalFormatting>
  <conditionalFormatting sqref="K3:K15">
    <cfRule type="cellIs" dxfId="4" priority="5" operator="equal">
      <formula>"Not Started"</formula>
    </cfRule>
  </conditionalFormatting>
  <conditionalFormatting sqref="L3:L15">
    <cfRule type="expression" dxfId="5" priority="6">
      <formula>ISNUMBER(SEARCH("BOTTOM",L3))</formula>
    </cfRule>
  </conditionalFormatting>
  <conditionalFormatting sqref="L3:L15">
    <cfRule type="expression" dxfId="6" priority="7">
      <formula>OR(ISNUMBER(SEARCH("LOW",L3)),ISNUMBER(SEARCH("HIGH",L3)))</formula>
    </cfRule>
  </conditionalFormatting>
  <conditionalFormatting sqref="L3:L15">
    <cfRule type="expression" dxfId="0" priority="8">
      <formula>ISNUMBER(SEARCH("Cleared",L3))</formula>
    </cfRule>
  </conditionalFormatting>
  <dataValidations>
    <dataValidation type="list" allowBlank="1" sqref="K4:K15">
      <formula1>"Not Started,In Progress,Pending/Blocked,On Track,Completed"</formula1>
    </dataValidation>
    <dataValidation type="list" allowBlank="1" sqref="M4:M15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776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3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777</v>
      </c>
      <c r="C4" s="37" t="s">
        <v>778</v>
      </c>
      <c r="D4" s="38"/>
      <c r="E4" s="39"/>
      <c r="F4" s="40"/>
      <c r="G4" s="41"/>
      <c r="H4" s="42">
        <v>721312.0</v>
      </c>
      <c r="I4" s="43"/>
      <c r="J4" s="43"/>
      <c r="K4" s="43"/>
      <c r="L4" s="43"/>
      <c r="M4" s="43"/>
      <c r="N4" s="43"/>
      <c r="O4" s="43"/>
      <c r="P4" s="44" t="s">
        <v>779</v>
      </c>
      <c r="Q4" s="45"/>
      <c r="R4" s="45"/>
    </row>
    <row r="5">
      <c r="A5" s="48"/>
      <c r="B5" s="49"/>
      <c r="C5" s="50" t="s">
        <v>780</v>
      </c>
      <c r="D5" s="51" t="s">
        <v>554</v>
      </c>
      <c r="E5" s="62">
        <v>0.0</v>
      </c>
      <c r="F5" s="63">
        <v>20000.0</v>
      </c>
      <c r="G5" s="54"/>
      <c r="H5" s="55">
        <v>39539.0</v>
      </c>
      <c r="I5" s="56" t="str">
        <f t="shared" ref="I5:I14" si="1">IF(AND(ISNUMBER(G5),ISNUMBER(H5)),H5-G5,"")</f>
        <v/>
      </c>
      <c r="J5" s="57" t="str">
        <f t="shared" ref="J5:J14" si="2">IF(AND(ISNUMBER(E5),E5&gt;0,ISNUMBER(H5)),H5/E5,"")</f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>🔴 HIGH</v>
      </c>
      <c r="M5" s="54" t="s">
        <v>82</v>
      </c>
      <c r="N5" s="59" t="s">
        <v>83</v>
      </c>
      <c r="O5" s="60" t="s">
        <v>84</v>
      </c>
      <c r="P5" s="61" t="s">
        <v>781</v>
      </c>
      <c r="Q5" s="60" t="s">
        <v>114</v>
      </c>
      <c r="R5" s="60" t="s">
        <v>782</v>
      </c>
    </row>
    <row r="6">
      <c r="A6" s="48"/>
      <c r="B6" s="49"/>
      <c r="C6" s="50" t="s">
        <v>783</v>
      </c>
      <c r="D6" s="51" t="s">
        <v>363</v>
      </c>
      <c r="E6" s="68">
        <v>0.05</v>
      </c>
      <c r="F6" s="69">
        <v>0.05</v>
      </c>
      <c r="G6" s="54"/>
      <c r="H6" s="70">
        <v>0.0548</v>
      </c>
      <c r="I6" s="57" t="str">
        <f t="shared" si="1"/>
        <v/>
      </c>
      <c r="J6" s="57">
        <f t="shared" si="2"/>
        <v>1.096</v>
      </c>
      <c r="K6" s="54" t="s">
        <v>10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>🔴 HIGH</v>
      </c>
      <c r="M6" s="54" t="s">
        <v>82</v>
      </c>
      <c r="N6" s="59" t="s">
        <v>83</v>
      </c>
      <c r="O6" s="60" t="s">
        <v>84</v>
      </c>
      <c r="P6" s="61" t="s">
        <v>784</v>
      </c>
      <c r="Q6" s="60" t="s">
        <v>114</v>
      </c>
      <c r="R6" s="60" t="s">
        <v>785</v>
      </c>
    </row>
    <row r="7">
      <c r="A7" s="48"/>
      <c r="B7" s="49"/>
      <c r="C7" s="50" t="s">
        <v>786</v>
      </c>
      <c r="D7" s="51" t="s">
        <v>554</v>
      </c>
      <c r="E7" s="52"/>
      <c r="F7" s="63">
        <v>1000.0</v>
      </c>
      <c r="G7" s="56">
        <v>7700.0</v>
      </c>
      <c r="H7" s="55">
        <v>7932.0</v>
      </c>
      <c r="I7" s="56">
        <f t="shared" si="1"/>
        <v>232</v>
      </c>
      <c r="J7" s="57" t="str">
        <f t="shared" si="2"/>
        <v/>
      </c>
      <c r="K7" s="54" t="s">
        <v>10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HIGH</v>
      </c>
      <c r="M7" s="54" t="s">
        <v>82</v>
      </c>
      <c r="N7" s="59" t="s">
        <v>83</v>
      </c>
      <c r="O7" s="60" t="s">
        <v>84</v>
      </c>
      <c r="P7" s="61" t="s">
        <v>787</v>
      </c>
      <c r="Q7" s="60" t="s">
        <v>114</v>
      </c>
      <c r="R7" s="60" t="s">
        <v>788</v>
      </c>
    </row>
    <row r="8">
      <c r="A8" s="48"/>
      <c r="B8" s="49"/>
      <c r="C8" s="50" t="s">
        <v>789</v>
      </c>
      <c r="D8" s="51" t="s">
        <v>554</v>
      </c>
      <c r="E8" s="52"/>
      <c r="F8" s="63">
        <v>1000.0</v>
      </c>
      <c r="G8" s="56">
        <v>5892.0</v>
      </c>
      <c r="H8" s="55">
        <v>6634.0</v>
      </c>
      <c r="I8" s="56">
        <f t="shared" si="1"/>
        <v>742</v>
      </c>
      <c r="J8" s="57" t="str">
        <f t="shared" si="2"/>
        <v/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>🔴 HIGH</v>
      </c>
      <c r="M8" s="54" t="s">
        <v>82</v>
      </c>
      <c r="N8" s="59" t="s">
        <v>83</v>
      </c>
      <c r="O8" s="60" t="s">
        <v>84</v>
      </c>
      <c r="P8" s="61" t="s">
        <v>790</v>
      </c>
      <c r="Q8" s="60" t="s">
        <v>114</v>
      </c>
      <c r="R8" s="60" t="s">
        <v>791</v>
      </c>
    </row>
    <row r="9">
      <c r="A9" s="48"/>
      <c r="B9" s="49"/>
      <c r="C9" s="50" t="s">
        <v>792</v>
      </c>
      <c r="D9" s="51" t="s">
        <v>554</v>
      </c>
      <c r="E9" s="52"/>
      <c r="F9" s="63">
        <v>1000.0</v>
      </c>
      <c r="G9" s="56">
        <v>5747.0</v>
      </c>
      <c r="H9" s="55">
        <v>5579.0</v>
      </c>
      <c r="I9" s="56">
        <f t="shared" si="1"/>
        <v>-168</v>
      </c>
      <c r="J9" s="57" t="str">
        <f t="shared" si="2"/>
        <v/>
      </c>
      <c r="K9" s="54" t="s">
        <v>10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>🔴 HIGH</v>
      </c>
      <c r="M9" s="54" t="s">
        <v>82</v>
      </c>
      <c r="N9" s="59" t="s">
        <v>83</v>
      </c>
      <c r="O9" s="60" t="s">
        <v>84</v>
      </c>
      <c r="P9" s="61" t="s">
        <v>793</v>
      </c>
      <c r="Q9" s="60" t="s">
        <v>114</v>
      </c>
      <c r="R9" s="60" t="s">
        <v>794</v>
      </c>
    </row>
    <row r="10">
      <c r="A10" s="48"/>
      <c r="B10" s="49"/>
      <c r="C10" s="50" t="s">
        <v>795</v>
      </c>
      <c r="D10" s="51" t="s">
        <v>554</v>
      </c>
      <c r="E10" s="52"/>
      <c r="F10" s="63">
        <v>1000.0</v>
      </c>
      <c r="G10" s="56">
        <v>5168.0</v>
      </c>
      <c r="H10" s="55">
        <v>5220.0</v>
      </c>
      <c r="I10" s="56">
        <f t="shared" si="1"/>
        <v>52</v>
      </c>
      <c r="J10" s="57" t="str">
        <f t="shared" si="2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>🔴 HIGH</v>
      </c>
      <c r="M10" s="54" t="s">
        <v>82</v>
      </c>
      <c r="N10" s="59" t="s">
        <v>83</v>
      </c>
      <c r="O10" s="60" t="s">
        <v>84</v>
      </c>
      <c r="P10" s="61" t="s">
        <v>796</v>
      </c>
      <c r="Q10" s="60" t="s">
        <v>114</v>
      </c>
      <c r="R10" s="60" t="s">
        <v>797</v>
      </c>
    </row>
    <row r="11">
      <c r="A11" s="48"/>
      <c r="B11" s="49"/>
      <c r="C11" s="50" t="s">
        <v>798</v>
      </c>
      <c r="D11" s="51" t="s">
        <v>554</v>
      </c>
      <c r="E11" s="52"/>
      <c r="F11" s="63">
        <v>500.0</v>
      </c>
      <c r="G11" s="56">
        <v>2258.0</v>
      </c>
      <c r="H11" s="55">
        <v>2505.0</v>
      </c>
      <c r="I11" s="56">
        <f t="shared" si="1"/>
        <v>247</v>
      </c>
      <c r="J11" s="57" t="str">
        <f t="shared" si="2"/>
        <v/>
      </c>
      <c r="K11" s="54" t="s">
        <v>10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>🔴 HIGH</v>
      </c>
      <c r="M11" s="54" t="s">
        <v>82</v>
      </c>
      <c r="N11" s="59" t="s">
        <v>83</v>
      </c>
      <c r="O11" s="60" t="s">
        <v>84</v>
      </c>
      <c r="P11" s="61" t="s">
        <v>799</v>
      </c>
      <c r="Q11" s="60" t="s">
        <v>114</v>
      </c>
      <c r="R11" s="60" t="s">
        <v>800</v>
      </c>
    </row>
    <row r="12">
      <c r="A12" s="48"/>
      <c r="B12" s="49"/>
      <c r="C12" s="50" t="s">
        <v>801</v>
      </c>
      <c r="D12" s="51" t="s">
        <v>554</v>
      </c>
      <c r="E12" s="52"/>
      <c r="F12" s="63">
        <v>500.0</v>
      </c>
      <c r="G12" s="56">
        <v>542.0</v>
      </c>
      <c r="H12" s="55">
        <v>416.0</v>
      </c>
      <c r="I12" s="56">
        <f t="shared" si="1"/>
        <v>-126</v>
      </c>
      <c r="J12" s="57" t="str">
        <f t="shared" si="2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 t="s">
        <v>83</v>
      </c>
      <c r="O12" s="60" t="s">
        <v>84</v>
      </c>
      <c r="P12" s="61" t="s">
        <v>802</v>
      </c>
      <c r="Q12" s="60" t="s">
        <v>114</v>
      </c>
      <c r="R12" s="60" t="s">
        <v>803</v>
      </c>
    </row>
    <row r="13">
      <c r="A13" s="48"/>
      <c r="B13" s="49"/>
      <c r="C13" s="50" t="s">
        <v>804</v>
      </c>
      <c r="D13" s="51" t="s">
        <v>554</v>
      </c>
      <c r="E13" s="52"/>
      <c r="F13" s="63">
        <v>500.0</v>
      </c>
      <c r="G13" s="56">
        <v>260.0</v>
      </c>
      <c r="H13" s="55">
        <v>337.0</v>
      </c>
      <c r="I13" s="56">
        <f t="shared" si="1"/>
        <v>77</v>
      </c>
      <c r="J13" s="57" t="str">
        <f t="shared" si="2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/>
      </c>
      <c r="M13" s="54" t="s">
        <v>82</v>
      </c>
      <c r="N13" s="59" t="s">
        <v>83</v>
      </c>
      <c r="O13" s="60" t="s">
        <v>84</v>
      </c>
      <c r="P13" s="61" t="s">
        <v>805</v>
      </c>
      <c r="Q13" s="60" t="s">
        <v>114</v>
      </c>
      <c r="R13" s="60" t="s">
        <v>806</v>
      </c>
    </row>
    <row r="14">
      <c r="A14" s="48"/>
      <c r="B14" s="49"/>
      <c r="C14" s="50" t="s">
        <v>807</v>
      </c>
      <c r="D14" s="51" t="s">
        <v>554</v>
      </c>
      <c r="E14" s="52"/>
      <c r="F14" s="63">
        <v>3000.0</v>
      </c>
      <c r="G14" s="54"/>
      <c r="H14" s="55">
        <v>6674.0</v>
      </c>
      <c r="I14" s="56" t="str">
        <f t="shared" si="1"/>
        <v/>
      </c>
      <c r="J14" s="57" t="str">
        <f t="shared" si="2"/>
        <v/>
      </c>
      <c r="K14" s="54" t="s">
        <v>10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>🔴 HIGH</v>
      </c>
      <c r="M14" s="54" t="s">
        <v>82</v>
      </c>
      <c r="N14" s="59" t="s">
        <v>83</v>
      </c>
      <c r="O14" s="60" t="s">
        <v>84</v>
      </c>
      <c r="P14" s="61"/>
      <c r="Q14" s="60" t="s">
        <v>114</v>
      </c>
      <c r="R14" s="60" t="s">
        <v>808</v>
      </c>
    </row>
    <row r="15">
      <c r="A15" s="35">
        <v>2.0</v>
      </c>
      <c r="B15" s="36" t="s">
        <v>809</v>
      </c>
      <c r="C15" s="37" t="s">
        <v>810</v>
      </c>
      <c r="D15" s="38"/>
      <c r="E15" s="39"/>
      <c r="F15" s="40"/>
      <c r="G15" s="41"/>
      <c r="H15" s="42">
        <v>13.0</v>
      </c>
      <c r="I15" s="43"/>
      <c r="J15" s="43"/>
      <c r="K15" s="43"/>
      <c r="L15" s="43"/>
      <c r="M15" s="43"/>
      <c r="N15" s="43"/>
      <c r="O15" s="43"/>
      <c r="P15" s="44" t="s">
        <v>811</v>
      </c>
      <c r="Q15" s="45"/>
      <c r="R15" s="45"/>
    </row>
    <row r="16">
      <c r="A16" s="48"/>
      <c r="B16" s="49"/>
      <c r="C16" s="50" t="s">
        <v>812</v>
      </c>
      <c r="D16" s="51" t="s">
        <v>309</v>
      </c>
      <c r="E16" s="52"/>
      <c r="F16" s="53"/>
      <c r="G16" s="54"/>
      <c r="H16" s="55">
        <v>13.0</v>
      </c>
      <c r="I16" s="56" t="str">
        <f t="shared" ref="I16:I23" si="3">IF(AND(ISNUMBER(G16),ISNUMBER(H16)),H16-G16,"")</f>
        <v/>
      </c>
      <c r="J16" s="57" t="str">
        <f t="shared" ref="J16:J23" si="4">IF(AND(ISNUMBER(E16),E16&gt;0,ISNUMBER(H16)),H16/E16,"")</f>
        <v/>
      </c>
      <c r="K16" s="54" t="s">
        <v>9</v>
      </c>
      <c r="L16" s="58" t="str">
        <f>IF(M16="Yes","🔴 BOTTOM",IF(M16="No","✓ Cleared",IF(Q16="MIN",IF(AND(ISNUMBER(F16),ISNUMBER(H16)),IF(H16&lt;F16*'Master Dashboard'!$B$4,"🔴 LOW",""),""),IF(Q16="MAX",IF(AND(ISNUMBER(F16),ISNUMBER(H16)),IF(H16&gt;F16,"🔴 HIGH",""),""),""))))</f>
        <v/>
      </c>
      <c r="M16" s="54" t="s">
        <v>82</v>
      </c>
      <c r="N16" s="59" t="s">
        <v>83</v>
      </c>
      <c r="O16" s="60" t="s">
        <v>84</v>
      </c>
      <c r="P16" s="61" t="s">
        <v>813</v>
      </c>
      <c r="Q16" s="60"/>
      <c r="R16" s="60" t="s">
        <v>814</v>
      </c>
    </row>
    <row r="17">
      <c r="A17" s="48"/>
      <c r="B17" s="49"/>
      <c r="C17" s="50" t="s">
        <v>815</v>
      </c>
      <c r="D17" s="51" t="s">
        <v>309</v>
      </c>
      <c r="E17" s="62">
        <v>0.0</v>
      </c>
      <c r="F17" s="63">
        <v>0.0</v>
      </c>
      <c r="G17" s="54"/>
      <c r="H17" s="55">
        <v>3.0</v>
      </c>
      <c r="I17" s="56" t="str">
        <f t="shared" si="3"/>
        <v/>
      </c>
      <c r="J17" s="57" t="str">
        <f t="shared" si="4"/>
        <v/>
      </c>
      <c r="K17" s="54" t="s">
        <v>10</v>
      </c>
      <c r="L17" s="58" t="str">
        <f>IF(M17="Yes","🔴 BOTTOM",IF(M17="No","✓ Cleared",IF(Q17="MIN",IF(AND(ISNUMBER(F17),ISNUMBER(H17)),IF(H17&lt;F17*'Master Dashboard'!$B$4,"🔴 LOW",""),""),IF(Q17="MAX",IF(AND(ISNUMBER(F17),ISNUMBER(H17)),IF(H17&gt;F17,"🔴 HIGH",""),""),""))))</f>
        <v>🔴 HIGH</v>
      </c>
      <c r="M17" s="54" t="s">
        <v>82</v>
      </c>
      <c r="N17" s="59" t="s">
        <v>83</v>
      </c>
      <c r="O17" s="60" t="s">
        <v>84</v>
      </c>
      <c r="P17" s="61" t="s">
        <v>816</v>
      </c>
      <c r="Q17" s="60" t="s">
        <v>114</v>
      </c>
      <c r="R17" s="60" t="s">
        <v>817</v>
      </c>
    </row>
    <row r="18">
      <c r="A18" s="48"/>
      <c r="B18" s="49"/>
      <c r="C18" s="50" t="s">
        <v>818</v>
      </c>
      <c r="D18" s="51" t="s">
        <v>819</v>
      </c>
      <c r="E18" s="52"/>
      <c r="F18" s="53"/>
      <c r="G18" s="54"/>
      <c r="H18" s="71" t="s">
        <v>820</v>
      </c>
      <c r="I18" s="56" t="str">
        <f t="shared" si="3"/>
        <v/>
      </c>
      <c r="J18" s="57" t="str">
        <f t="shared" si="4"/>
        <v/>
      </c>
      <c r="K18" s="54" t="s">
        <v>10</v>
      </c>
      <c r="L18" s="58" t="str">
        <f>IF(M18="Yes","🔴 BOTTOM",IF(M18="No","✓ Cleared",IF(Q18="MIN",IF(AND(ISNUMBER(F18),ISNUMBER(H18)),IF(H18&lt;F18*'Master Dashboard'!$B$4,"🔴 LOW",""),""),IF(Q18="MAX",IF(AND(ISNUMBER(F18),ISNUMBER(H18)),IF(H18&gt;F18,"🔴 HIGH",""),""),""))))</f>
        <v/>
      </c>
      <c r="M18" s="54" t="s">
        <v>82</v>
      </c>
      <c r="N18" s="59" t="s">
        <v>83</v>
      </c>
      <c r="O18" s="60" t="s">
        <v>84</v>
      </c>
      <c r="P18" s="61" t="s">
        <v>821</v>
      </c>
      <c r="Q18" s="60"/>
      <c r="R18" s="60" t="s">
        <v>822</v>
      </c>
    </row>
    <row r="19">
      <c r="A19" s="48"/>
      <c r="B19" s="49"/>
      <c r="C19" s="50" t="s">
        <v>823</v>
      </c>
      <c r="D19" s="51" t="s">
        <v>819</v>
      </c>
      <c r="E19" s="52"/>
      <c r="F19" s="53"/>
      <c r="G19" s="54"/>
      <c r="H19" s="71" t="s">
        <v>820</v>
      </c>
      <c r="I19" s="56" t="str">
        <f t="shared" si="3"/>
        <v/>
      </c>
      <c r="J19" s="57" t="str">
        <f t="shared" si="4"/>
        <v/>
      </c>
      <c r="K19" s="54" t="s">
        <v>10</v>
      </c>
      <c r="L19" s="58" t="str">
        <f>IF(M19="Yes","🔴 BOTTOM",IF(M19="No","✓ Cleared",IF(Q19="MIN",IF(AND(ISNUMBER(F19),ISNUMBER(H19)),IF(H19&lt;F19*'Master Dashboard'!$B$4,"🔴 LOW",""),""),IF(Q19="MAX",IF(AND(ISNUMBER(F19),ISNUMBER(H19)),IF(H19&gt;F19,"🔴 HIGH",""),""),""))))</f>
        <v/>
      </c>
      <c r="M19" s="54" t="s">
        <v>82</v>
      </c>
      <c r="N19" s="59" t="s">
        <v>83</v>
      </c>
      <c r="O19" s="60" t="s">
        <v>84</v>
      </c>
      <c r="P19" s="61" t="s">
        <v>824</v>
      </c>
      <c r="Q19" s="60"/>
      <c r="R19" s="60" t="s">
        <v>825</v>
      </c>
    </row>
    <row r="20">
      <c r="A20" s="48"/>
      <c r="B20" s="49"/>
      <c r="C20" s="50" t="s">
        <v>826</v>
      </c>
      <c r="D20" s="51" t="s">
        <v>819</v>
      </c>
      <c r="E20" s="52"/>
      <c r="F20" s="53"/>
      <c r="G20" s="54"/>
      <c r="H20" s="71" t="s">
        <v>820</v>
      </c>
      <c r="I20" s="56" t="str">
        <f t="shared" si="3"/>
        <v/>
      </c>
      <c r="J20" s="57" t="str">
        <f t="shared" si="4"/>
        <v/>
      </c>
      <c r="K20" s="54" t="s">
        <v>10</v>
      </c>
      <c r="L20" s="58" t="str">
        <f>IF(M20="Yes","🔴 BOTTOM",IF(M20="No","✓ Cleared",IF(Q20="MIN",IF(AND(ISNUMBER(F20),ISNUMBER(H20)),IF(H20&lt;F20*'Master Dashboard'!$B$4,"🔴 LOW",""),""),IF(Q20="MAX",IF(AND(ISNUMBER(F20),ISNUMBER(H20)),IF(H20&gt;F20,"🔴 HIGH",""),""),""))))</f>
        <v/>
      </c>
      <c r="M20" s="54" t="s">
        <v>82</v>
      </c>
      <c r="N20" s="59" t="s">
        <v>83</v>
      </c>
      <c r="O20" s="60" t="s">
        <v>84</v>
      </c>
      <c r="P20" s="61" t="s">
        <v>827</v>
      </c>
      <c r="Q20" s="60"/>
      <c r="R20" s="60" t="s">
        <v>828</v>
      </c>
    </row>
    <row r="21" ht="15.75" customHeight="1">
      <c r="A21" s="48"/>
      <c r="B21" s="49"/>
      <c r="C21" s="50" t="s">
        <v>829</v>
      </c>
      <c r="D21" s="51" t="s">
        <v>819</v>
      </c>
      <c r="E21" s="52"/>
      <c r="F21" s="53"/>
      <c r="G21" s="54"/>
      <c r="H21" s="71" t="s">
        <v>830</v>
      </c>
      <c r="I21" s="56" t="str">
        <f t="shared" si="3"/>
        <v/>
      </c>
      <c r="J21" s="57" t="str">
        <f t="shared" si="4"/>
        <v/>
      </c>
      <c r="K21" s="54" t="s">
        <v>9</v>
      </c>
      <c r="L21" s="58" t="str">
        <f>IF(M21="Yes","🔴 BOTTOM",IF(M21="No","✓ Cleared",IF(Q21="MIN",IF(AND(ISNUMBER(F21),ISNUMBER(H21)),IF(H21&lt;F21*'Master Dashboard'!$B$4,"🔴 LOW",""),""),IF(Q21="MAX",IF(AND(ISNUMBER(F21),ISNUMBER(H21)),IF(H21&gt;F21,"🔴 HIGH",""),""),""))))</f>
        <v/>
      </c>
      <c r="M21" s="54" t="s">
        <v>82</v>
      </c>
      <c r="N21" s="59" t="s">
        <v>83</v>
      </c>
      <c r="O21" s="60" t="s">
        <v>84</v>
      </c>
      <c r="P21" s="61" t="s">
        <v>831</v>
      </c>
      <c r="Q21" s="60"/>
      <c r="R21" s="60" t="s">
        <v>832</v>
      </c>
    </row>
    <row r="22" ht="15.75" customHeight="1">
      <c r="A22" s="48"/>
      <c r="B22" s="49"/>
      <c r="C22" s="50" t="s">
        <v>833</v>
      </c>
      <c r="D22" s="51" t="s">
        <v>819</v>
      </c>
      <c r="E22" s="52"/>
      <c r="F22" s="53"/>
      <c r="G22" s="54"/>
      <c r="H22" s="71" t="s">
        <v>830</v>
      </c>
      <c r="I22" s="56" t="str">
        <f t="shared" si="3"/>
        <v/>
      </c>
      <c r="J22" s="57" t="str">
        <f t="shared" si="4"/>
        <v/>
      </c>
      <c r="K22" s="54" t="s">
        <v>9</v>
      </c>
      <c r="L22" s="58" t="str">
        <f>IF(M22="Yes","🔴 BOTTOM",IF(M22="No","✓ Cleared",IF(Q22="MIN",IF(AND(ISNUMBER(F22),ISNUMBER(H22)),IF(H22&lt;F22*'Master Dashboard'!$B$4,"🔴 LOW",""),""),IF(Q22="MAX",IF(AND(ISNUMBER(F22),ISNUMBER(H22)),IF(H22&gt;F22,"🔴 HIGH",""),""),""))))</f>
        <v/>
      </c>
      <c r="M22" s="54" t="s">
        <v>82</v>
      </c>
      <c r="N22" s="59" t="s">
        <v>83</v>
      </c>
      <c r="O22" s="60" t="s">
        <v>84</v>
      </c>
      <c r="P22" s="61" t="s">
        <v>834</v>
      </c>
      <c r="Q22" s="60"/>
      <c r="R22" s="60" t="s">
        <v>835</v>
      </c>
    </row>
    <row r="23" ht="15.75" customHeight="1">
      <c r="A23" s="48"/>
      <c r="B23" s="49"/>
      <c r="C23" s="50" t="s">
        <v>836</v>
      </c>
      <c r="D23" s="51" t="s">
        <v>819</v>
      </c>
      <c r="E23" s="52"/>
      <c r="F23" s="53"/>
      <c r="G23" s="54"/>
      <c r="H23" s="71" t="s">
        <v>837</v>
      </c>
      <c r="I23" s="56" t="str">
        <f t="shared" si="3"/>
        <v/>
      </c>
      <c r="J23" s="57" t="str">
        <f t="shared" si="4"/>
        <v/>
      </c>
      <c r="K23" s="54" t="s">
        <v>9</v>
      </c>
      <c r="L23" s="58" t="str">
        <f>IF(M23="Yes","🔴 BOTTOM",IF(M23="No","✓ Cleared",IF(Q23="MIN",IF(AND(ISNUMBER(F23),ISNUMBER(H23)),IF(H23&lt;F23*'Master Dashboard'!$B$4,"🔴 LOW",""),""),IF(Q23="MAX",IF(AND(ISNUMBER(F23),ISNUMBER(H23)),IF(H23&gt;F23,"🔴 HIGH",""),""),""))))</f>
        <v/>
      </c>
      <c r="M23" s="54" t="s">
        <v>82</v>
      </c>
      <c r="N23" s="59" t="s">
        <v>83</v>
      </c>
      <c r="O23" s="60" t="s">
        <v>84</v>
      </c>
      <c r="P23" s="61" t="s">
        <v>838</v>
      </c>
      <c r="Q23" s="60"/>
      <c r="R23" s="60" t="s">
        <v>839</v>
      </c>
    </row>
    <row r="24" ht="15.75" customHeight="1">
      <c r="A24" s="35">
        <v>3.0</v>
      </c>
      <c r="B24" s="36" t="s">
        <v>840</v>
      </c>
      <c r="C24" s="37" t="s">
        <v>841</v>
      </c>
      <c r="D24" s="38"/>
      <c r="E24" s="39"/>
      <c r="F24" s="40"/>
      <c r="G24" s="41"/>
      <c r="H24" s="42">
        <v>7.0</v>
      </c>
      <c r="I24" s="43"/>
      <c r="J24" s="43"/>
      <c r="K24" s="43"/>
      <c r="L24" s="43"/>
      <c r="M24" s="43"/>
      <c r="N24" s="43"/>
      <c r="O24" s="43"/>
      <c r="P24" s="44" t="s">
        <v>842</v>
      </c>
      <c r="Q24" s="45"/>
      <c r="R24" s="45"/>
    </row>
    <row r="25" ht="15.75" customHeight="1">
      <c r="A25" s="48"/>
      <c r="B25" s="49"/>
      <c r="C25" s="50" t="s">
        <v>843</v>
      </c>
      <c r="D25" s="51" t="s">
        <v>309</v>
      </c>
      <c r="E25" s="52"/>
      <c r="F25" s="53"/>
      <c r="G25" s="54"/>
      <c r="H25" s="55">
        <v>7.0</v>
      </c>
      <c r="I25" s="56" t="str">
        <f t="shared" ref="I25:I31" si="5">IF(AND(ISNUMBER(G25),ISNUMBER(H25)),H25-G25,"")</f>
        <v/>
      </c>
      <c r="J25" s="57" t="str">
        <f t="shared" ref="J25:J31" si="6">IF(AND(ISNUMBER(E25),E25&gt;0,ISNUMBER(H25)),H25/E25,"")</f>
        <v/>
      </c>
      <c r="K25" s="54" t="s">
        <v>9</v>
      </c>
      <c r="L25" s="58" t="str">
        <f>IF(M25="Yes","🔴 BOTTOM",IF(M25="No","✓ Cleared",IF(Q25="MIN",IF(AND(ISNUMBER(F25),ISNUMBER(H25)),IF(H25&lt;F25*'Master Dashboard'!$B$4,"🔴 LOW",""),""),IF(Q25="MAX",IF(AND(ISNUMBER(F25),ISNUMBER(H25)),IF(H25&gt;F25,"🔴 HIGH",""),""),""))))</f>
        <v/>
      </c>
      <c r="M25" s="54" t="s">
        <v>82</v>
      </c>
      <c r="N25" s="59" t="s">
        <v>83</v>
      </c>
      <c r="O25" s="60" t="s">
        <v>84</v>
      </c>
      <c r="P25" s="61"/>
      <c r="Q25" s="60"/>
      <c r="R25" s="60" t="s">
        <v>844</v>
      </c>
    </row>
    <row r="26" ht="15.75" customHeight="1">
      <c r="A26" s="48"/>
      <c r="B26" s="49"/>
      <c r="C26" s="50" t="s">
        <v>845</v>
      </c>
      <c r="D26" s="51" t="s">
        <v>819</v>
      </c>
      <c r="E26" s="52"/>
      <c r="F26" s="53"/>
      <c r="G26" s="54"/>
      <c r="H26" s="71" t="s">
        <v>846</v>
      </c>
      <c r="I26" s="56" t="str">
        <f t="shared" si="5"/>
        <v/>
      </c>
      <c r="J26" s="57" t="str">
        <f t="shared" si="6"/>
        <v/>
      </c>
      <c r="K26" s="54" t="s">
        <v>10</v>
      </c>
      <c r="L26" s="58" t="str">
        <f>IF(M26="Yes","🔴 BOTTOM",IF(M26="No","✓ Cleared",IF(Q26="MIN",IF(AND(ISNUMBER(F26),ISNUMBER(H26)),IF(H26&lt;F26*'Master Dashboard'!$B$4,"🔴 LOW",""),""),IF(Q26="MAX",IF(AND(ISNUMBER(F26),ISNUMBER(H26)),IF(H26&gt;F26,"🔴 HIGH",""),""),""))))</f>
        <v/>
      </c>
      <c r="M26" s="54" t="s">
        <v>82</v>
      </c>
      <c r="N26" s="59" t="s">
        <v>83</v>
      </c>
      <c r="O26" s="60" t="s">
        <v>84</v>
      </c>
      <c r="P26" s="61" t="s">
        <v>847</v>
      </c>
      <c r="Q26" s="60"/>
      <c r="R26" s="60" t="s">
        <v>848</v>
      </c>
    </row>
    <row r="27" ht="15.75" customHeight="1">
      <c r="A27" s="48"/>
      <c r="B27" s="49"/>
      <c r="C27" s="50" t="s">
        <v>849</v>
      </c>
      <c r="D27" s="51" t="s">
        <v>819</v>
      </c>
      <c r="E27" s="52"/>
      <c r="F27" s="53"/>
      <c r="G27" s="54"/>
      <c r="H27" s="71" t="s">
        <v>850</v>
      </c>
      <c r="I27" s="56" t="str">
        <f t="shared" si="5"/>
        <v/>
      </c>
      <c r="J27" s="57" t="str">
        <f t="shared" si="6"/>
        <v/>
      </c>
      <c r="K27" s="54" t="s">
        <v>10</v>
      </c>
      <c r="L27" s="58" t="str">
        <f>IF(M27="Yes","🔴 BOTTOM",IF(M27="No","✓ Cleared",IF(Q27="MIN",IF(AND(ISNUMBER(F27),ISNUMBER(H27)),IF(H27&lt;F27*'Master Dashboard'!$B$4,"🔴 LOW",""),""),IF(Q27="MAX",IF(AND(ISNUMBER(F27),ISNUMBER(H27)),IF(H27&gt;F27,"🔴 HIGH",""),""),""))))</f>
        <v/>
      </c>
      <c r="M27" s="54" t="s">
        <v>82</v>
      </c>
      <c r="N27" s="59" t="s">
        <v>83</v>
      </c>
      <c r="O27" s="60" t="s">
        <v>84</v>
      </c>
      <c r="P27" s="61" t="s">
        <v>851</v>
      </c>
      <c r="Q27" s="60"/>
      <c r="R27" s="60" t="s">
        <v>852</v>
      </c>
    </row>
    <row r="28" ht="15.75" customHeight="1">
      <c r="A28" s="48"/>
      <c r="B28" s="49"/>
      <c r="C28" s="50" t="s">
        <v>853</v>
      </c>
      <c r="D28" s="51" t="s">
        <v>819</v>
      </c>
      <c r="E28" s="52"/>
      <c r="F28" s="53"/>
      <c r="G28" s="54"/>
      <c r="H28" s="71" t="s">
        <v>854</v>
      </c>
      <c r="I28" s="56" t="str">
        <f t="shared" si="5"/>
        <v/>
      </c>
      <c r="J28" s="57" t="str">
        <f t="shared" si="6"/>
        <v/>
      </c>
      <c r="K28" s="54" t="s">
        <v>9</v>
      </c>
      <c r="L28" s="58" t="str">
        <f>IF(M28="Yes","🔴 BOTTOM",IF(M28="No","✓ Cleared",IF(Q28="MIN",IF(AND(ISNUMBER(F28),ISNUMBER(H28)),IF(H28&lt;F28*'Master Dashboard'!$B$4,"🔴 LOW",""),""),IF(Q28="MAX",IF(AND(ISNUMBER(F28),ISNUMBER(H28)),IF(H28&gt;F28,"🔴 HIGH",""),""),""))))</f>
        <v/>
      </c>
      <c r="M28" s="54" t="s">
        <v>82</v>
      </c>
      <c r="N28" s="59" t="s">
        <v>83</v>
      </c>
      <c r="O28" s="60" t="s">
        <v>84</v>
      </c>
      <c r="P28" s="61" t="s">
        <v>855</v>
      </c>
      <c r="Q28" s="60"/>
      <c r="R28" s="60" t="s">
        <v>856</v>
      </c>
    </row>
    <row r="29" ht="15.75" customHeight="1">
      <c r="A29" s="48"/>
      <c r="B29" s="49"/>
      <c r="C29" s="50" t="s">
        <v>857</v>
      </c>
      <c r="D29" s="51" t="s">
        <v>819</v>
      </c>
      <c r="E29" s="52"/>
      <c r="F29" s="53"/>
      <c r="G29" s="54"/>
      <c r="H29" s="71" t="s">
        <v>858</v>
      </c>
      <c r="I29" s="56" t="str">
        <f t="shared" si="5"/>
        <v/>
      </c>
      <c r="J29" s="57" t="str">
        <f t="shared" si="6"/>
        <v/>
      </c>
      <c r="K29" s="54" t="s">
        <v>9</v>
      </c>
      <c r="L29" s="58" t="str">
        <f>IF(M29="Yes","🔴 BOTTOM",IF(M29="No","✓ Cleared",IF(Q29="MIN",IF(AND(ISNUMBER(F29),ISNUMBER(H29)),IF(H29&lt;F29*'Master Dashboard'!$B$4,"🔴 LOW",""),""),IF(Q29="MAX",IF(AND(ISNUMBER(F29),ISNUMBER(H29)),IF(H29&gt;F29,"🔴 HIGH",""),""),""))))</f>
        <v/>
      </c>
      <c r="M29" s="54" t="s">
        <v>82</v>
      </c>
      <c r="N29" s="59" t="s">
        <v>83</v>
      </c>
      <c r="O29" s="60" t="s">
        <v>84</v>
      </c>
      <c r="P29" s="61" t="s">
        <v>859</v>
      </c>
      <c r="Q29" s="60"/>
      <c r="R29" s="60" t="s">
        <v>860</v>
      </c>
    </row>
    <row r="30" ht="15.75" customHeight="1">
      <c r="A30" s="48"/>
      <c r="B30" s="49"/>
      <c r="C30" s="50" t="s">
        <v>861</v>
      </c>
      <c r="D30" s="51" t="s">
        <v>819</v>
      </c>
      <c r="E30" s="52"/>
      <c r="F30" s="53"/>
      <c r="G30" s="54"/>
      <c r="H30" s="71" t="s">
        <v>862</v>
      </c>
      <c r="I30" s="56" t="str">
        <f t="shared" si="5"/>
        <v/>
      </c>
      <c r="J30" s="57" t="str">
        <f t="shared" si="6"/>
        <v/>
      </c>
      <c r="K30" s="54" t="s">
        <v>9</v>
      </c>
      <c r="L30" s="58" t="str">
        <f>IF(M30="Yes","🔴 BOTTOM",IF(M30="No","✓ Cleared",IF(Q30="MIN",IF(AND(ISNUMBER(F30),ISNUMBER(H30)),IF(H30&lt;F30*'Master Dashboard'!$B$4,"🔴 LOW",""),""),IF(Q30="MAX",IF(AND(ISNUMBER(F30),ISNUMBER(H30)),IF(H30&gt;F30,"🔴 HIGH",""),""),""))))</f>
        <v/>
      </c>
      <c r="M30" s="54" t="s">
        <v>82</v>
      </c>
      <c r="N30" s="59" t="s">
        <v>83</v>
      </c>
      <c r="O30" s="60" t="s">
        <v>84</v>
      </c>
      <c r="P30" s="61" t="s">
        <v>863</v>
      </c>
      <c r="Q30" s="60"/>
      <c r="R30" s="60" t="s">
        <v>864</v>
      </c>
    </row>
    <row r="31" ht="15.75" customHeight="1">
      <c r="A31" s="48"/>
      <c r="B31" s="49"/>
      <c r="C31" s="50" t="s">
        <v>865</v>
      </c>
      <c r="D31" s="51" t="s">
        <v>819</v>
      </c>
      <c r="E31" s="52"/>
      <c r="F31" s="53"/>
      <c r="G31" s="54"/>
      <c r="H31" s="71" t="s">
        <v>862</v>
      </c>
      <c r="I31" s="56" t="str">
        <f t="shared" si="5"/>
        <v/>
      </c>
      <c r="J31" s="57" t="str">
        <f t="shared" si="6"/>
        <v/>
      </c>
      <c r="K31" s="54" t="s">
        <v>9</v>
      </c>
      <c r="L31" s="58" t="str">
        <f>IF(M31="Yes","🔴 BOTTOM",IF(M31="No","✓ Cleared",IF(Q31="MIN",IF(AND(ISNUMBER(F31),ISNUMBER(H31)),IF(H31&lt;F31*'Master Dashboard'!$B$4,"🔴 LOW",""),""),IF(Q31="MAX",IF(AND(ISNUMBER(F31),ISNUMBER(H31)),IF(H31&gt;F31,"🔴 HIGH",""),""),""))))</f>
        <v/>
      </c>
      <c r="M31" s="54" t="s">
        <v>82</v>
      </c>
      <c r="N31" s="59" t="s">
        <v>83</v>
      </c>
      <c r="O31" s="60" t="s">
        <v>84</v>
      </c>
      <c r="P31" s="61" t="s">
        <v>866</v>
      </c>
      <c r="Q31" s="60"/>
      <c r="R31" s="60" t="s">
        <v>867</v>
      </c>
    </row>
    <row r="32" ht="15.75" customHeight="1">
      <c r="A32" s="35">
        <v>4.0</v>
      </c>
      <c r="B32" s="36" t="s">
        <v>868</v>
      </c>
      <c r="C32" s="37" t="s">
        <v>869</v>
      </c>
      <c r="D32" s="38"/>
      <c r="E32" s="39"/>
      <c r="F32" s="40"/>
      <c r="G32" s="41"/>
      <c r="H32" s="42">
        <v>20093.0</v>
      </c>
      <c r="I32" s="43"/>
      <c r="J32" s="43"/>
      <c r="K32" s="43"/>
      <c r="L32" s="43"/>
      <c r="M32" s="43"/>
      <c r="N32" s="43"/>
      <c r="O32" s="43"/>
      <c r="P32" s="44" t="s">
        <v>870</v>
      </c>
      <c r="Q32" s="45"/>
      <c r="R32" s="45"/>
    </row>
    <row r="33" ht="15.75" customHeight="1">
      <c r="A33" s="48"/>
      <c r="B33" s="49"/>
      <c r="C33" s="50" t="s">
        <v>871</v>
      </c>
      <c r="D33" s="51" t="s">
        <v>554</v>
      </c>
      <c r="E33" s="62">
        <v>0.0</v>
      </c>
      <c r="F33" s="63">
        <v>5000.0</v>
      </c>
      <c r="G33" s="54"/>
      <c r="H33" s="55">
        <v>20093.0</v>
      </c>
      <c r="I33" s="56" t="str">
        <f t="shared" ref="I33:I40" si="7">IF(AND(ISNUMBER(G33),ISNUMBER(H33)),H33-G33,"")</f>
        <v/>
      </c>
      <c r="J33" s="57" t="str">
        <f t="shared" ref="J33:J40" si="8">IF(AND(ISNUMBER(E33),E33&gt;0,ISNUMBER(H33)),H33/E33,"")</f>
        <v/>
      </c>
      <c r="K33" s="54" t="s">
        <v>10</v>
      </c>
      <c r="L33" s="58" t="str">
        <f>IF(M33="Yes","🔴 BOTTOM",IF(M33="No","✓ Cleared",IF(Q33="MIN",IF(AND(ISNUMBER(F33),ISNUMBER(H33)),IF(H33&lt;F33*'Master Dashboard'!$B$4,"🔴 LOW",""),""),IF(Q33="MAX",IF(AND(ISNUMBER(F33),ISNUMBER(H33)),IF(H33&gt;F33,"🔴 HIGH",""),""),""))))</f>
        <v>🔴 HIGH</v>
      </c>
      <c r="M33" s="54" t="s">
        <v>82</v>
      </c>
      <c r="N33" s="59" t="s">
        <v>83</v>
      </c>
      <c r="O33" s="60" t="s">
        <v>84</v>
      </c>
      <c r="P33" s="61" t="s">
        <v>872</v>
      </c>
      <c r="Q33" s="60" t="s">
        <v>114</v>
      </c>
      <c r="R33" s="60" t="s">
        <v>873</v>
      </c>
    </row>
    <row r="34" ht="15.75" customHeight="1">
      <c r="A34" s="48"/>
      <c r="B34" s="49"/>
      <c r="C34" s="50" t="s">
        <v>874</v>
      </c>
      <c r="D34" s="51" t="s">
        <v>554</v>
      </c>
      <c r="E34" s="62">
        <v>0.0</v>
      </c>
      <c r="F34" s="63">
        <v>3000.0</v>
      </c>
      <c r="G34" s="54"/>
      <c r="H34" s="55">
        <v>15847.0</v>
      </c>
      <c r="I34" s="56" t="str">
        <f t="shared" si="7"/>
        <v/>
      </c>
      <c r="J34" s="57" t="str">
        <f t="shared" si="8"/>
        <v/>
      </c>
      <c r="K34" s="54" t="s">
        <v>10</v>
      </c>
      <c r="L34" s="58" t="str">
        <f>IF(M34="Yes","🔴 BOTTOM",IF(M34="No","✓ Cleared",IF(Q34="MIN",IF(AND(ISNUMBER(F34),ISNUMBER(H34)),IF(H34&lt;F34*'Master Dashboard'!$B$4,"🔴 LOW",""),""),IF(Q34="MAX",IF(AND(ISNUMBER(F34),ISNUMBER(H34)),IF(H34&gt;F34,"🔴 HIGH",""),""),""))))</f>
        <v>🔴 HIGH</v>
      </c>
      <c r="M34" s="54" t="s">
        <v>82</v>
      </c>
      <c r="N34" s="59" t="s">
        <v>83</v>
      </c>
      <c r="O34" s="60" t="s">
        <v>84</v>
      </c>
      <c r="P34" s="61" t="s">
        <v>875</v>
      </c>
      <c r="Q34" s="60" t="s">
        <v>114</v>
      </c>
      <c r="R34" s="60" t="s">
        <v>876</v>
      </c>
    </row>
    <row r="35" ht="15.75" customHeight="1">
      <c r="A35" s="48"/>
      <c r="B35" s="49"/>
      <c r="C35" s="50" t="s">
        <v>877</v>
      </c>
      <c r="D35" s="51" t="s">
        <v>554</v>
      </c>
      <c r="E35" s="62">
        <v>0.0</v>
      </c>
      <c r="F35" s="63">
        <v>1000.0</v>
      </c>
      <c r="G35" s="54"/>
      <c r="H35" s="55">
        <v>4050.0</v>
      </c>
      <c r="I35" s="56" t="str">
        <f t="shared" si="7"/>
        <v/>
      </c>
      <c r="J35" s="57" t="str">
        <f t="shared" si="8"/>
        <v/>
      </c>
      <c r="K35" s="54" t="s">
        <v>10</v>
      </c>
      <c r="L35" s="58" t="str">
        <f>IF(M35="Yes","🔴 BOTTOM",IF(M35="No","✓ Cleared",IF(Q35="MIN",IF(AND(ISNUMBER(F35),ISNUMBER(H35)),IF(H35&lt;F35*'Master Dashboard'!$B$4,"🔴 LOW",""),""),IF(Q35="MAX",IF(AND(ISNUMBER(F35),ISNUMBER(H35)),IF(H35&gt;F35,"🔴 HIGH",""),""),""))))</f>
        <v>🔴 HIGH</v>
      </c>
      <c r="M35" s="54" t="s">
        <v>82</v>
      </c>
      <c r="N35" s="59" t="s">
        <v>83</v>
      </c>
      <c r="O35" s="60" t="s">
        <v>84</v>
      </c>
      <c r="P35" s="61" t="s">
        <v>875</v>
      </c>
      <c r="Q35" s="60" t="s">
        <v>114</v>
      </c>
      <c r="R35" s="60" t="s">
        <v>878</v>
      </c>
    </row>
    <row r="36" ht="15.75" customHeight="1">
      <c r="A36" s="48"/>
      <c r="B36" s="49"/>
      <c r="C36" s="50" t="s">
        <v>879</v>
      </c>
      <c r="D36" s="51" t="s">
        <v>554</v>
      </c>
      <c r="E36" s="62">
        <v>0.0</v>
      </c>
      <c r="F36" s="63">
        <v>1000.0</v>
      </c>
      <c r="G36" s="54"/>
      <c r="H36" s="55">
        <v>6519.0</v>
      </c>
      <c r="I36" s="56" t="str">
        <f t="shared" si="7"/>
        <v/>
      </c>
      <c r="J36" s="57" t="str">
        <f t="shared" si="8"/>
        <v/>
      </c>
      <c r="K36" s="54" t="s">
        <v>10</v>
      </c>
      <c r="L36" s="58" t="str">
        <f>IF(M36="Yes","🔴 BOTTOM",IF(M36="No","✓ Cleared",IF(Q36="MIN",IF(AND(ISNUMBER(F36),ISNUMBER(H36)),IF(H36&lt;F36*'Master Dashboard'!$B$4,"🔴 LOW",""),""),IF(Q36="MAX",IF(AND(ISNUMBER(F36),ISNUMBER(H36)),IF(H36&gt;F36,"🔴 HIGH",""),""),""))))</f>
        <v>🔴 HIGH</v>
      </c>
      <c r="M36" s="54" t="s">
        <v>82</v>
      </c>
      <c r="N36" s="59" t="s">
        <v>83</v>
      </c>
      <c r="O36" s="60" t="s">
        <v>84</v>
      </c>
      <c r="P36" s="61" t="s">
        <v>880</v>
      </c>
      <c r="Q36" s="60" t="s">
        <v>114</v>
      </c>
      <c r="R36" s="60" t="s">
        <v>881</v>
      </c>
    </row>
    <row r="37" ht="15.75" customHeight="1">
      <c r="A37" s="48"/>
      <c r="B37" s="49"/>
      <c r="C37" s="50" t="s">
        <v>882</v>
      </c>
      <c r="D37" s="51" t="s">
        <v>554</v>
      </c>
      <c r="E37" s="62">
        <v>0.0</v>
      </c>
      <c r="F37" s="63">
        <v>1000.0</v>
      </c>
      <c r="G37" s="54"/>
      <c r="H37" s="55">
        <v>4684.0</v>
      </c>
      <c r="I37" s="56" t="str">
        <f t="shared" si="7"/>
        <v/>
      </c>
      <c r="J37" s="57" t="str">
        <f t="shared" si="8"/>
        <v/>
      </c>
      <c r="K37" s="54" t="s">
        <v>10</v>
      </c>
      <c r="L37" s="58" t="str">
        <f>IF(M37="Yes","🔴 BOTTOM",IF(M37="No","✓ Cleared",IF(Q37="MIN",IF(AND(ISNUMBER(F37),ISNUMBER(H37)),IF(H37&lt;F37*'Master Dashboard'!$B$4,"🔴 LOW",""),""),IF(Q37="MAX",IF(AND(ISNUMBER(F37),ISNUMBER(H37)),IF(H37&gt;F37,"🔴 HIGH",""),""),""))))</f>
        <v>🔴 HIGH</v>
      </c>
      <c r="M37" s="54" t="s">
        <v>82</v>
      </c>
      <c r="N37" s="59" t="s">
        <v>83</v>
      </c>
      <c r="O37" s="60" t="s">
        <v>84</v>
      </c>
      <c r="P37" s="61" t="s">
        <v>880</v>
      </c>
      <c r="Q37" s="60" t="s">
        <v>114</v>
      </c>
      <c r="R37" s="60" t="s">
        <v>883</v>
      </c>
    </row>
    <row r="38" ht="15.75" customHeight="1">
      <c r="A38" s="48"/>
      <c r="B38" s="49"/>
      <c r="C38" s="50" t="s">
        <v>884</v>
      </c>
      <c r="D38" s="51" t="s">
        <v>554</v>
      </c>
      <c r="E38" s="62">
        <v>0.0</v>
      </c>
      <c r="F38" s="63">
        <v>1000.0</v>
      </c>
      <c r="G38" s="54"/>
      <c r="H38" s="55">
        <v>1507.0</v>
      </c>
      <c r="I38" s="56" t="str">
        <f t="shared" si="7"/>
        <v/>
      </c>
      <c r="J38" s="57" t="str">
        <f t="shared" si="8"/>
        <v/>
      </c>
      <c r="K38" s="54" t="s">
        <v>10</v>
      </c>
      <c r="L38" s="58" t="str">
        <f>IF(M38="Yes","🔴 BOTTOM",IF(M38="No","✓ Cleared",IF(Q38="MIN",IF(AND(ISNUMBER(F38),ISNUMBER(H38)),IF(H38&lt;F38*'Master Dashboard'!$B$4,"🔴 LOW",""),""),IF(Q38="MAX",IF(AND(ISNUMBER(F38),ISNUMBER(H38)),IF(H38&gt;F38,"🔴 HIGH",""),""),""))))</f>
        <v>🔴 HIGH</v>
      </c>
      <c r="M38" s="54" t="s">
        <v>82</v>
      </c>
      <c r="N38" s="59" t="s">
        <v>83</v>
      </c>
      <c r="O38" s="60" t="s">
        <v>84</v>
      </c>
      <c r="P38" s="61" t="s">
        <v>880</v>
      </c>
      <c r="Q38" s="60" t="s">
        <v>114</v>
      </c>
      <c r="R38" s="60" t="s">
        <v>885</v>
      </c>
    </row>
    <row r="39" ht="15.75" customHeight="1">
      <c r="A39" s="48"/>
      <c r="B39" s="49"/>
      <c r="C39" s="50" t="s">
        <v>886</v>
      </c>
      <c r="D39" s="51" t="s">
        <v>554</v>
      </c>
      <c r="E39" s="62">
        <v>0.0</v>
      </c>
      <c r="F39" s="63">
        <v>1000.0</v>
      </c>
      <c r="G39" s="54"/>
      <c r="H39" s="55">
        <v>1670.0</v>
      </c>
      <c r="I39" s="56" t="str">
        <f t="shared" si="7"/>
        <v/>
      </c>
      <c r="J39" s="57" t="str">
        <f t="shared" si="8"/>
        <v/>
      </c>
      <c r="K39" s="54" t="s">
        <v>10</v>
      </c>
      <c r="L39" s="58" t="str">
        <f>IF(M39="Yes","🔴 BOTTOM",IF(M39="No","✓ Cleared",IF(Q39="MIN",IF(AND(ISNUMBER(F39),ISNUMBER(H39)),IF(H39&lt;F39*'Master Dashboard'!$B$4,"🔴 LOW",""),""),IF(Q39="MAX",IF(AND(ISNUMBER(F39),ISNUMBER(H39)),IF(H39&gt;F39,"🔴 HIGH",""),""),""))))</f>
        <v>🔴 HIGH</v>
      </c>
      <c r="M39" s="54" t="s">
        <v>82</v>
      </c>
      <c r="N39" s="59" t="s">
        <v>83</v>
      </c>
      <c r="O39" s="60" t="s">
        <v>84</v>
      </c>
      <c r="P39" s="61" t="s">
        <v>880</v>
      </c>
      <c r="Q39" s="60" t="s">
        <v>114</v>
      </c>
      <c r="R39" s="60" t="s">
        <v>887</v>
      </c>
    </row>
    <row r="40" ht="15.75" customHeight="1">
      <c r="A40" s="48"/>
      <c r="B40" s="49"/>
      <c r="C40" s="50" t="s">
        <v>888</v>
      </c>
      <c r="D40" s="51" t="s">
        <v>554</v>
      </c>
      <c r="E40" s="62">
        <v>0.0</v>
      </c>
      <c r="F40" s="63">
        <v>1000.0</v>
      </c>
      <c r="G40" s="54"/>
      <c r="H40" s="55">
        <v>1335.0</v>
      </c>
      <c r="I40" s="56" t="str">
        <f t="shared" si="7"/>
        <v/>
      </c>
      <c r="J40" s="57" t="str">
        <f t="shared" si="8"/>
        <v/>
      </c>
      <c r="K40" s="54" t="s">
        <v>10</v>
      </c>
      <c r="L40" s="58" t="str">
        <f>IF(M40="Yes","🔴 BOTTOM",IF(M40="No","✓ Cleared",IF(Q40="MIN",IF(AND(ISNUMBER(F40),ISNUMBER(H40)),IF(H40&lt;F40*'Master Dashboard'!$B$4,"🔴 LOW",""),""),IF(Q40="MAX",IF(AND(ISNUMBER(F40),ISNUMBER(H40)),IF(H40&gt;F40,"🔴 HIGH",""),""),""))))</f>
        <v>🔴 HIGH</v>
      </c>
      <c r="M40" s="54" t="s">
        <v>82</v>
      </c>
      <c r="N40" s="59" t="s">
        <v>83</v>
      </c>
      <c r="O40" s="60" t="s">
        <v>84</v>
      </c>
      <c r="P40" s="61" t="s">
        <v>880</v>
      </c>
      <c r="Q40" s="60" t="s">
        <v>114</v>
      </c>
      <c r="R40" s="60" t="s">
        <v>889</v>
      </c>
    </row>
    <row r="41" ht="19.5" customHeight="1">
      <c r="A41" s="67" t="s">
        <v>360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</row>
    <row r="42" ht="15.75" customHeight="1">
      <c r="A42" s="35">
        <v>5.0</v>
      </c>
      <c r="B42" s="36" t="s">
        <v>890</v>
      </c>
      <c r="C42" s="50" t="s">
        <v>891</v>
      </c>
      <c r="D42" s="51" t="s">
        <v>380</v>
      </c>
      <c r="E42" s="52"/>
      <c r="F42" s="53"/>
      <c r="G42" s="54"/>
      <c r="H42" s="71"/>
      <c r="I42" s="56" t="str">
        <f t="shared" ref="I42:I47" si="9">IF(AND(ISNUMBER(G42),ISNUMBER(H42)),H42-G42,"")</f>
        <v/>
      </c>
      <c r="J42" s="57" t="str">
        <f t="shared" ref="J42:J47" si="10">IF(AND(ISNUMBER(E42),E42&gt;0,ISNUMBER(H42)),H42/E42,"")</f>
        <v/>
      </c>
      <c r="K42" s="54" t="s">
        <v>9</v>
      </c>
      <c r="L42" s="58" t="str">
        <f>IF(M42="Yes","🔴 BOTTOM",IF(M42="No","✓ Cleared",IF(Q42="MIN",IF(AND(ISNUMBER(F42),ISNUMBER(H42)),IF(H42&lt;F42*'Master Dashboard'!$B$4,"🔴 LOW",""),""),IF(Q42="MAX",IF(AND(ISNUMBER(F42),ISNUMBER(H42)),IF(H42&gt;F42,"🔴 HIGH",""),""),""))))</f>
        <v/>
      </c>
      <c r="M42" s="54" t="s">
        <v>82</v>
      </c>
      <c r="N42" s="59"/>
      <c r="O42" s="60"/>
      <c r="P42" s="61" t="s">
        <v>396</v>
      </c>
      <c r="Q42" s="60"/>
      <c r="R42" s="60" t="s">
        <v>892</v>
      </c>
    </row>
    <row r="43" ht="15.75" customHeight="1">
      <c r="A43" s="48"/>
      <c r="B43" s="49"/>
      <c r="C43" s="50" t="s">
        <v>893</v>
      </c>
      <c r="D43" s="51" t="s">
        <v>894</v>
      </c>
      <c r="E43" s="62">
        <v>0.0</v>
      </c>
      <c r="F43" s="63">
        <v>0.0</v>
      </c>
      <c r="G43" s="54"/>
      <c r="H43" s="55">
        <v>16.0</v>
      </c>
      <c r="I43" s="56" t="str">
        <f t="shared" si="9"/>
        <v/>
      </c>
      <c r="J43" s="57" t="str">
        <f t="shared" si="10"/>
        <v/>
      </c>
      <c r="K43" s="54" t="s">
        <v>10</v>
      </c>
      <c r="L43" s="58" t="str">
        <f>IF(M43="Yes","🔴 BOTTOM",IF(M43="No","✓ Cleared",IF(Q43="MIN",IF(AND(ISNUMBER(F43),ISNUMBER(H43)),IF(H43&lt;F43*'Master Dashboard'!$B$4,"🔴 LOW",""),""),IF(Q43="MAX",IF(AND(ISNUMBER(F43),ISNUMBER(H43)),IF(H43&gt;F43,"🔴 HIGH",""),""),""))))</f>
        <v>🔴 HIGH</v>
      </c>
      <c r="M43" s="54" t="s">
        <v>82</v>
      </c>
      <c r="N43" s="59" t="s">
        <v>83</v>
      </c>
      <c r="O43" s="60" t="s">
        <v>84</v>
      </c>
      <c r="P43" s="61" t="s">
        <v>895</v>
      </c>
      <c r="Q43" s="60" t="s">
        <v>114</v>
      </c>
      <c r="R43" s="60" t="s">
        <v>896</v>
      </c>
    </row>
    <row r="44" ht="15.75" customHeight="1">
      <c r="A44" s="48"/>
      <c r="B44" s="49"/>
      <c r="C44" s="50" t="s">
        <v>897</v>
      </c>
      <c r="D44" s="51" t="s">
        <v>367</v>
      </c>
      <c r="E44" s="52"/>
      <c r="F44" s="53"/>
      <c r="G44" s="54"/>
      <c r="H44" s="71"/>
      <c r="I44" s="56" t="str">
        <f t="shared" si="9"/>
        <v/>
      </c>
      <c r="J44" s="57" t="str">
        <f t="shared" si="10"/>
        <v/>
      </c>
      <c r="K44" s="54" t="s">
        <v>10</v>
      </c>
      <c r="L44" s="58" t="str">
        <f>IF(M44="Yes","🔴 BOTTOM",IF(M44="No","✓ Cleared",IF(Q44="MIN",IF(AND(ISNUMBER(F44),ISNUMBER(H44)),IF(H44&lt;F44*'Master Dashboard'!$B$4,"🔴 LOW",""),""),IF(Q44="MAX",IF(AND(ISNUMBER(F44),ISNUMBER(H44)),IF(H44&gt;F44,"🔴 HIGH",""),""),""))))</f>
        <v/>
      </c>
      <c r="M44" s="54" t="s">
        <v>82</v>
      </c>
      <c r="N44" s="59"/>
      <c r="O44" s="60"/>
      <c r="P44" s="61" t="s">
        <v>898</v>
      </c>
      <c r="Q44" s="60"/>
      <c r="R44" s="60" t="s">
        <v>899</v>
      </c>
    </row>
    <row r="45" ht="15.75" customHeight="1">
      <c r="A45" s="35">
        <v>6.0</v>
      </c>
      <c r="B45" s="36" t="s">
        <v>900</v>
      </c>
      <c r="C45" s="50" t="s">
        <v>901</v>
      </c>
      <c r="D45" s="51" t="s">
        <v>902</v>
      </c>
      <c r="E45" s="62">
        <v>0.0</v>
      </c>
      <c r="F45" s="63">
        <v>0.0</v>
      </c>
      <c r="G45" s="54"/>
      <c r="H45" s="55">
        <v>28.0</v>
      </c>
      <c r="I45" s="56" t="str">
        <f t="shared" si="9"/>
        <v/>
      </c>
      <c r="J45" s="57" t="str">
        <f t="shared" si="10"/>
        <v/>
      </c>
      <c r="K45" s="54" t="s">
        <v>10</v>
      </c>
      <c r="L45" s="58" t="str">
        <f>IF(M45="Yes","🔴 BOTTOM",IF(M45="No","✓ Cleared",IF(Q45="MIN",IF(AND(ISNUMBER(F45),ISNUMBER(H45)),IF(H45&lt;F45*'Master Dashboard'!$B$4,"🔴 LOW",""),""),IF(Q45="MAX",IF(AND(ISNUMBER(F45),ISNUMBER(H45)),IF(H45&gt;F45,"🔴 HIGH",""),""),""))))</f>
        <v>🔴 HIGH</v>
      </c>
      <c r="M45" s="54" t="s">
        <v>82</v>
      </c>
      <c r="N45" s="59" t="s">
        <v>83</v>
      </c>
      <c r="O45" s="60" t="s">
        <v>84</v>
      </c>
      <c r="P45" s="61" t="s">
        <v>903</v>
      </c>
      <c r="Q45" s="60" t="s">
        <v>114</v>
      </c>
      <c r="R45" s="60" t="s">
        <v>904</v>
      </c>
    </row>
    <row r="46" ht="15.75" customHeight="1">
      <c r="A46" s="48"/>
      <c r="B46" s="49"/>
      <c r="C46" s="50" t="s">
        <v>905</v>
      </c>
      <c r="D46" s="51" t="s">
        <v>761</v>
      </c>
      <c r="E46" s="62">
        <v>0.0</v>
      </c>
      <c r="F46" s="63">
        <v>0.0</v>
      </c>
      <c r="G46" s="54"/>
      <c r="H46" s="55">
        <v>5.0</v>
      </c>
      <c r="I46" s="56" t="str">
        <f t="shared" si="9"/>
        <v/>
      </c>
      <c r="J46" s="57" t="str">
        <f t="shared" si="10"/>
        <v/>
      </c>
      <c r="K46" s="54" t="s">
        <v>10</v>
      </c>
      <c r="L46" s="58" t="str">
        <f>IF(M46="Yes","🔴 BOTTOM",IF(M46="No","✓ Cleared",IF(Q46="MIN",IF(AND(ISNUMBER(F46),ISNUMBER(H46)),IF(H46&lt;F46*'Master Dashboard'!$B$4,"🔴 LOW",""),""),IF(Q46="MAX",IF(AND(ISNUMBER(F46),ISNUMBER(H46)),IF(H46&gt;F46,"🔴 HIGH",""),""),""))))</f>
        <v>🔴 HIGH</v>
      </c>
      <c r="M46" s="54" t="s">
        <v>82</v>
      </c>
      <c r="N46" s="59" t="s">
        <v>83</v>
      </c>
      <c r="O46" s="60" t="s">
        <v>84</v>
      </c>
      <c r="P46" s="61" t="s">
        <v>906</v>
      </c>
      <c r="Q46" s="60" t="s">
        <v>114</v>
      </c>
      <c r="R46" s="60" t="s">
        <v>907</v>
      </c>
    </row>
    <row r="47" ht="15.75" customHeight="1">
      <c r="A47" s="35">
        <v>7.0</v>
      </c>
      <c r="B47" s="36" t="s">
        <v>908</v>
      </c>
      <c r="C47" s="50" t="s">
        <v>909</v>
      </c>
      <c r="D47" s="51" t="s">
        <v>380</v>
      </c>
      <c r="E47" s="52"/>
      <c r="F47" s="53"/>
      <c r="G47" s="54"/>
      <c r="H47" s="71"/>
      <c r="I47" s="56" t="str">
        <f t="shared" si="9"/>
        <v/>
      </c>
      <c r="J47" s="57" t="str">
        <f t="shared" si="10"/>
        <v/>
      </c>
      <c r="K47" s="54" t="s">
        <v>9</v>
      </c>
      <c r="L47" s="58" t="str">
        <f>IF(M47="Yes","🔴 BOTTOM",IF(M47="No","✓ Cleared",IF(Q47="MIN",IF(AND(ISNUMBER(F47),ISNUMBER(H47)),IF(H47&lt;F47*'Master Dashboard'!$B$4,"🔴 LOW",""),""),IF(Q47="MAX",IF(AND(ISNUMBER(F47),ISNUMBER(H47)),IF(H47&gt;F47,"🔴 HIGH",""),""),""))))</f>
        <v/>
      </c>
      <c r="M47" s="54" t="s">
        <v>82</v>
      </c>
      <c r="N47" s="59"/>
      <c r="O47" s="60"/>
      <c r="P47" s="61" t="s">
        <v>910</v>
      </c>
      <c r="Q47" s="60"/>
      <c r="R47" s="60" t="s">
        <v>911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47"/>
  <mergeCells count="3">
    <mergeCell ref="A1:P1"/>
    <mergeCell ref="A3:P3"/>
    <mergeCell ref="A41:P41"/>
  </mergeCells>
  <conditionalFormatting sqref="K3:K47">
    <cfRule type="cellIs" dxfId="0" priority="1" operator="equal">
      <formula>"Completed"</formula>
    </cfRule>
  </conditionalFormatting>
  <conditionalFormatting sqref="K3:K47">
    <cfRule type="cellIs" dxfId="1" priority="2" operator="equal">
      <formula>"On Track"</formula>
    </cfRule>
  </conditionalFormatting>
  <conditionalFormatting sqref="K3:K47">
    <cfRule type="cellIs" dxfId="2" priority="3" operator="equal">
      <formula>"In Progress"</formula>
    </cfRule>
  </conditionalFormatting>
  <conditionalFormatting sqref="K3:K47">
    <cfRule type="cellIs" dxfId="3" priority="4" operator="equal">
      <formula>"Pending/Blocked"</formula>
    </cfRule>
  </conditionalFormatting>
  <conditionalFormatting sqref="K3:K47">
    <cfRule type="cellIs" dxfId="4" priority="5" operator="equal">
      <formula>"Not Started"</formula>
    </cfRule>
  </conditionalFormatting>
  <conditionalFormatting sqref="L3:L47">
    <cfRule type="expression" dxfId="5" priority="6">
      <formula>ISNUMBER(SEARCH("BOTTOM",L3))</formula>
    </cfRule>
  </conditionalFormatting>
  <conditionalFormatting sqref="L3:L47">
    <cfRule type="expression" dxfId="6" priority="7">
      <formula>OR(ISNUMBER(SEARCH("LOW",L3)),ISNUMBER(SEARCH("HIGH",L3)))</formula>
    </cfRule>
  </conditionalFormatting>
  <conditionalFormatting sqref="L3:L47">
    <cfRule type="expression" dxfId="0" priority="8">
      <formula>ISNUMBER(SEARCH("Cleared",L3))</formula>
    </cfRule>
  </conditionalFormatting>
  <dataValidations>
    <dataValidation type="list" allowBlank="1" sqref="K4:K40 K42:K47">
      <formula1>"Not Started,In Progress,Pending/Blocked,On Track,Completed"</formula1>
    </dataValidation>
    <dataValidation type="list" allowBlank="1" sqref="M4:M40 M42:M47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912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3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913</v>
      </c>
      <c r="C4" s="37" t="s">
        <v>914</v>
      </c>
      <c r="D4" s="38"/>
      <c r="E4" s="39"/>
      <c r="F4" s="40"/>
      <c r="G4" s="41"/>
      <c r="H4" s="42">
        <v>233.0</v>
      </c>
      <c r="I4" s="43"/>
      <c r="J4" s="43"/>
      <c r="K4" s="43"/>
      <c r="L4" s="43"/>
      <c r="M4" s="43"/>
      <c r="N4" s="43"/>
      <c r="O4" s="43"/>
      <c r="P4" s="44" t="s">
        <v>915</v>
      </c>
      <c r="Q4" s="45"/>
      <c r="R4" s="45"/>
    </row>
    <row r="5">
      <c r="A5" s="46"/>
      <c r="B5" s="47"/>
      <c r="C5" s="37" t="s">
        <v>916</v>
      </c>
      <c r="D5" s="38"/>
      <c r="E5" s="39"/>
      <c r="F5" s="40"/>
      <c r="G5" s="41"/>
      <c r="H5" s="42">
        <v>147.0</v>
      </c>
      <c r="I5" s="43"/>
      <c r="J5" s="43"/>
      <c r="K5" s="43"/>
      <c r="L5" s="43"/>
      <c r="M5" s="43"/>
      <c r="N5" s="43"/>
      <c r="O5" s="43"/>
      <c r="P5" s="44" t="s">
        <v>917</v>
      </c>
      <c r="Q5" s="45"/>
      <c r="R5" s="45"/>
    </row>
    <row r="6">
      <c r="A6" s="48"/>
      <c r="B6" s="49"/>
      <c r="C6" s="50" t="s">
        <v>918</v>
      </c>
      <c r="D6" s="51" t="s">
        <v>309</v>
      </c>
      <c r="E6" s="62">
        <v>52.0</v>
      </c>
      <c r="F6" s="63">
        <v>41.6</v>
      </c>
      <c r="G6" s="54"/>
      <c r="H6" s="55">
        <v>45.0</v>
      </c>
      <c r="I6" s="56" t="str">
        <f t="shared" ref="I6:I24" si="1">IF(AND(ISNUMBER(G6),ISNUMBER(H6)),H6-G6,"")</f>
        <v/>
      </c>
      <c r="J6" s="57">
        <f t="shared" ref="J6:J24" si="2">IF(AND(ISNUMBER(E6),E6&gt;0,ISNUMBER(H6)),H6/E6,"")</f>
        <v>0.8653846154</v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 t="s">
        <v>83</v>
      </c>
      <c r="O6" s="60" t="s">
        <v>84</v>
      </c>
      <c r="P6" s="61" t="s">
        <v>919</v>
      </c>
      <c r="Q6" s="60" t="s">
        <v>110</v>
      </c>
      <c r="R6" s="60" t="s">
        <v>920</v>
      </c>
    </row>
    <row r="7">
      <c r="A7" s="48"/>
      <c r="B7" s="49"/>
      <c r="C7" s="50" t="s">
        <v>921</v>
      </c>
      <c r="D7" s="51" t="s">
        <v>309</v>
      </c>
      <c r="E7" s="62">
        <v>40.0</v>
      </c>
      <c r="F7" s="63">
        <v>32.0</v>
      </c>
      <c r="G7" s="54"/>
      <c r="H7" s="55">
        <v>25.0</v>
      </c>
      <c r="I7" s="56" t="str">
        <f t="shared" si="1"/>
        <v/>
      </c>
      <c r="J7" s="57">
        <f t="shared" si="2"/>
        <v>0.625</v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LOW</v>
      </c>
      <c r="M7" s="54" t="s">
        <v>82</v>
      </c>
      <c r="N7" s="59" t="s">
        <v>83</v>
      </c>
      <c r="O7" s="60" t="s">
        <v>84</v>
      </c>
      <c r="P7" s="61" t="s">
        <v>922</v>
      </c>
      <c r="Q7" s="60" t="s">
        <v>110</v>
      </c>
      <c r="R7" s="60" t="s">
        <v>923</v>
      </c>
    </row>
    <row r="8">
      <c r="A8" s="48"/>
      <c r="B8" s="49"/>
      <c r="C8" s="50" t="s">
        <v>924</v>
      </c>
      <c r="D8" s="51" t="s">
        <v>309</v>
      </c>
      <c r="E8" s="62">
        <v>27.0</v>
      </c>
      <c r="F8" s="63">
        <v>21.6</v>
      </c>
      <c r="G8" s="54"/>
      <c r="H8" s="55">
        <v>18.0</v>
      </c>
      <c r="I8" s="56" t="str">
        <f t="shared" si="1"/>
        <v/>
      </c>
      <c r="J8" s="57">
        <f t="shared" si="2"/>
        <v>0.6666666667</v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>🔴 LOW</v>
      </c>
      <c r="M8" s="54" t="s">
        <v>82</v>
      </c>
      <c r="N8" s="59" t="s">
        <v>83</v>
      </c>
      <c r="O8" s="60" t="s">
        <v>84</v>
      </c>
      <c r="P8" s="61" t="s">
        <v>925</v>
      </c>
      <c r="Q8" s="60" t="s">
        <v>110</v>
      </c>
      <c r="R8" s="60" t="s">
        <v>926</v>
      </c>
    </row>
    <row r="9">
      <c r="A9" s="48"/>
      <c r="B9" s="49"/>
      <c r="C9" s="50" t="s">
        <v>927</v>
      </c>
      <c r="D9" s="51" t="s">
        <v>309</v>
      </c>
      <c r="E9" s="62">
        <v>21.0</v>
      </c>
      <c r="F9" s="63">
        <v>16.8</v>
      </c>
      <c r="G9" s="54"/>
      <c r="H9" s="55">
        <v>14.0</v>
      </c>
      <c r="I9" s="56" t="str">
        <f t="shared" si="1"/>
        <v/>
      </c>
      <c r="J9" s="57">
        <f t="shared" si="2"/>
        <v>0.6666666667</v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>🔴 LOW</v>
      </c>
      <c r="M9" s="54" t="s">
        <v>82</v>
      </c>
      <c r="N9" s="59" t="s">
        <v>83</v>
      </c>
      <c r="O9" s="60" t="s">
        <v>84</v>
      </c>
      <c r="P9" s="61" t="s">
        <v>928</v>
      </c>
      <c r="Q9" s="60" t="s">
        <v>110</v>
      </c>
      <c r="R9" s="60" t="s">
        <v>929</v>
      </c>
    </row>
    <row r="10">
      <c r="A10" s="48"/>
      <c r="B10" s="49"/>
      <c r="C10" s="50" t="s">
        <v>930</v>
      </c>
      <c r="D10" s="51" t="s">
        <v>309</v>
      </c>
      <c r="E10" s="62">
        <v>17.0</v>
      </c>
      <c r="F10" s="63">
        <v>13.6</v>
      </c>
      <c r="G10" s="54"/>
      <c r="H10" s="55">
        <v>4.0</v>
      </c>
      <c r="I10" s="56" t="str">
        <f t="shared" si="1"/>
        <v/>
      </c>
      <c r="J10" s="57">
        <f t="shared" si="2"/>
        <v>0.2352941176</v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>🔴 LOW</v>
      </c>
      <c r="M10" s="54" t="s">
        <v>82</v>
      </c>
      <c r="N10" s="59" t="s">
        <v>83</v>
      </c>
      <c r="O10" s="60" t="s">
        <v>84</v>
      </c>
      <c r="P10" s="61" t="s">
        <v>931</v>
      </c>
      <c r="Q10" s="60" t="s">
        <v>110</v>
      </c>
      <c r="R10" s="60" t="s">
        <v>932</v>
      </c>
    </row>
    <row r="11">
      <c r="A11" s="48"/>
      <c r="B11" s="49"/>
      <c r="C11" s="50" t="s">
        <v>933</v>
      </c>
      <c r="D11" s="51" t="s">
        <v>309</v>
      </c>
      <c r="E11" s="62">
        <v>44.0</v>
      </c>
      <c r="F11" s="63">
        <v>35.2</v>
      </c>
      <c r="G11" s="54"/>
      <c r="H11" s="55">
        <v>43.0</v>
      </c>
      <c r="I11" s="56" t="str">
        <f t="shared" si="1"/>
        <v/>
      </c>
      <c r="J11" s="57">
        <f t="shared" si="2"/>
        <v>0.9772727273</v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 t="s">
        <v>83</v>
      </c>
      <c r="O11" s="60" t="s">
        <v>84</v>
      </c>
      <c r="P11" s="61" t="s">
        <v>934</v>
      </c>
      <c r="Q11" s="60" t="s">
        <v>110</v>
      </c>
      <c r="R11" s="60" t="s">
        <v>935</v>
      </c>
    </row>
    <row r="12">
      <c r="A12" s="48"/>
      <c r="B12" s="49"/>
      <c r="C12" s="50" t="s">
        <v>936</v>
      </c>
      <c r="D12" s="51" t="s">
        <v>309</v>
      </c>
      <c r="E12" s="62">
        <v>2.0</v>
      </c>
      <c r="F12" s="63">
        <v>1.6</v>
      </c>
      <c r="G12" s="54"/>
      <c r="H12" s="55">
        <v>2.0</v>
      </c>
      <c r="I12" s="56" t="str">
        <f t="shared" si="1"/>
        <v/>
      </c>
      <c r="J12" s="57">
        <f t="shared" si="2"/>
        <v>1</v>
      </c>
      <c r="K12" s="54" t="s">
        <v>7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 t="s">
        <v>83</v>
      </c>
      <c r="O12" s="60" t="s">
        <v>84</v>
      </c>
      <c r="P12" s="61" t="s">
        <v>937</v>
      </c>
      <c r="Q12" s="60" t="s">
        <v>110</v>
      </c>
      <c r="R12" s="60" t="s">
        <v>938</v>
      </c>
    </row>
    <row r="13">
      <c r="A13" s="48"/>
      <c r="B13" s="49"/>
      <c r="C13" s="50" t="s">
        <v>939</v>
      </c>
      <c r="D13" s="51" t="s">
        <v>309</v>
      </c>
      <c r="E13" s="62">
        <v>4.0</v>
      </c>
      <c r="F13" s="63">
        <v>3.2</v>
      </c>
      <c r="G13" s="54"/>
      <c r="H13" s="55">
        <v>0.0</v>
      </c>
      <c r="I13" s="56" t="str">
        <f t="shared" si="1"/>
        <v/>
      </c>
      <c r="J13" s="57">
        <f t="shared" si="2"/>
        <v>0</v>
      </c>
      <c r="K13" s="54" t="s">
        <v>10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>🔴 LOW</v>
      </c>
      <c r="M13" s="54" t="s">
        <v>82</v>
      </c>
      <c r="N13" s="59" t="s">
        <v>83</v>
      </c>
      <c r="O13" s="60" t="s">
        <v>84</v>
      </c>
      <c r="P13" s="61" t="s">
        <v>940</v>
      </c>
      <c r="Q13" s="60" t="s">
        <v>110</v>
      </c>
      <c r="R13" s="60" t="s">
        <v>941</v>
      </c>
    </row>
    <row r="14">
      <c r="A14" s="48"/>
      <c r="B14" s="49"/>
      <c r="C14" s="50" t="s">
        <v>942</v>
      </c>
      <c r="D14" s="51" t="s">
        <v>309</v>
      </c>
      <c r="E14" s="62">
        <v>5.0</v>
      </c>
      <c r="F14" s="63">
        <v>4.0</v>
      </c>
      <c r="G14" s="54"/>
      <c r="H14" s="55">
        <v>4.0</v>
      </c>
      <c r="I14" s="56" t="str">
        <f t="shared" si="1"/>
        <v/>
      </c>
      <c r="J14" s="57">
        <f t="shared" si="2"/>
        <v>0.8</v>
      </c>
      <c r="K14" s="54" t="s">
        <v>9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/>
      </c>
      <c r="M14" s="54" t="s">
        <v>82</v>
      </c>
      <c r="N14" s="59" t="s">
        <v>83</v>
      </c>
      <c r="O14" s="60" t="s">
        <v>84</v>
      </c>
      <c r="P14" s="61" t="s">
        <v>943</v>
      </c>
      <c r="Q14" s="60" t="s">
        <v>110</v>
      </c>
      <c r="R14" s="60" t="s">
        <v>944</v>
      </c>
    </row>
    <row r="15">
      <c r="A15" s="48"/>
      <c r="B15" s="49"/>
      <c r="C15" s="50" t="s">
        <v>945</v>
      </c>
      <c r="D15" s="51" t="s">
        <v>309</v>
      </c>
      <c r="E15" s="62">
        <v>0.0</v>
      </c>
      <c r="F15" s="53"/>
      <c r="G15" s="54"/>
      <c r="H15" s="55">
        <v>0.0</v>
      </c>
      <c r="I15" s="56" t="str">
        <f t="shared" si="1"/>
        <v/>
      </c>
      <c r="J15" s="57" t="str">
        <f t="shared" si="2"/>
        <v/>
      </c>
      <c r="K15" s="54" t="s">
        <v>10</v>
      </c>
      <c r="L15" s="58" t="str">
        <f>IF(M15="Yes","🔴 BOTTOM",IF(M15="No","✓ Cleared",IF(Q15="MIN",IF(AND(ISNUMBER(F15),ISNUMBER(H15)),IF(H15&lt;F15*'Master Dashboard'!$B$4,"🔴 LOW",""),""),IF(Q15="MAX",IF(AND(ISNUMBER(F15),ISNUMBER(H15)),IF(H15&gt;F15,"🔴 HIGH",""),""),""))))</f>
        <v/>
      </c>
      <c r="M15" s="54" t="s">
        <v>82</v>
      </c>
      <c r="N15" s="59" t="s">
        <v>83</v>
      </c>
      <c r="O15" s="60" t="s">
        <v>84</v>
      </c>
      <c r="P15" s="61" t="s">
        <v>946</v>
      </c>
      <c r="Q15" s="60" t="s">
        <v>110</v>
      </c>
      <c r="R15" s="60" t="s">
        <v>947</v>
      </c>
    </row>
    <row r="16">
      <c r="A16" s="48"/>
      <c r="B16" s="49"/>
      <c r="C16" s="50" t="s">
        <v>948</v>
      </c>
      <c r="D16" s="51" t="s">
        <v>309</v>
      </c>
      <c r="E16" s="62">
        <v>2.0</v>
      </c>
      <c r="F16" s="63">
        <v>1.6</v>
      </c>
      <c r="G16" s="54"/>
      <c r="H16" s="55">
        <v>2.0</v>
      </c>
      <c r="I16" s="56" t="str">
        <f t="shared" si="1"/>
        <v/>
      </c>
      <c r="J16" s="57">
        <f t="shared" si="2"/>
        <v>1</v>
      </c>
      <c r="K16" s="54" t="s">
        <v>7</v>
      </c>
      <c r="L16" s="58" t="str">
        <f>IF(M16="Yes","🔴 BOTTOM",IF(M16="No","✓ Cleared",IF(Q16="MIN",IF(AND(ISNUMBER(F16),ISNUMBER(H16)),IF(H16&lt;F16*'Master Dashboard'!$B$4,"🔴 LOW",""),""),IF(Q16="MAX",IF(AND(ISNUMBER(F16),ISNUMBER(H16)),IF(H16&gt;F16,"🔴 HIGH",""),""),""))))</f>
        <v/>
      </c>
      <c r="M16" s="54" t="s">
        <v>82</v>
      </c>
      <c r="N16" s="59" t="s">
        <v>83</v>
      </c>
      <c r="O16" s="60" t="s">
        <v>84</v>
      </c>
      <c r="P16" s="61" t="s">
        <v>937</v>
      </c>
      <c r="Q16" s="60" t="s">
        <v>110</v>
      </c>
      <c r="R16" s="60" t="s">
        <v>949</v>
      </c>
    </row>
    <row r="17">
      <c r="A17" s="48"/>
      <c r="B17" s="49"/>
      <c r="C17" s="50" t="s">
        <v>950</v>
      </c>
      <c r="D17" s="51" t="s">
        <v>309</v>
      </c>
      <c r="E17" s="62">
        <v>1.0</v>
      </c>
      <c r="F17" s="63">
        <v>0.8</v>
      </c>
      <c r="G17" s="54"/>
      <c r="H17" s="55">
        <v>1.0</v>
      </c>
      <c r="I17" s="56" t="str">
        <f t="shared" si="1"/>
        <v/>
      </c>
      <c r="J17" s="57">
        <f t="shared" si="2"/>
        <v>1</v>
      </c>
      <c r="K17" s="54" t="s">
        <v>7</v>
      </c>
      <c r="L17" s="58" t="str">
        <f>IF(M17="Yes","🔴 BOTTOM",IF(M17="No","✓ Cleared",IF(Q17="MIN",IF(AND(ISNUMBER(F17),ISNUMBER(H17)),IF(H17&lt;F17*'Master Dashboard'!$B$4,"🔴 LOW",""),""),IF(Q17="MAX",IF(AND(ISNUMBER(F17),ISNUMBER(H17)),IF(H17&gt;F17,"🔴 HIGH",""),""),""))))</f>
        <v/>
      </c>
      <c r="M17" s="54" t="s">
        <v>82</v>
      </c>
      <c r="N17" s="59" t="s">
        <v>83</v>
      </c>
      <c r="O17" s="60" t="s">
        <v>84</v>
      </c>
      <c r="P17" s="61" t="s">
        <v>937</v>
      </c>
      <c r="Q17" s="60" t="s">
        <v>110</v>
      </c>
      <c r="R17" s="60" t="s">
        <v>951</v>
      </c>
    </row>
    <row r="18">
      <c r="A18" s="48"/>
      <c r="B18" s="49"/>
      <c r="C18" s="50" t="s">
        <v>952</v>
      </c>
      <c r="D18" s="51" t="s">
        <v>309</v>
      </c>
      <c r="E18" s="52"/>
      <c r="F18" s="53"/>
      <c r="G18" s="54"/>
      <c r="H18" s="55">
        <v>233.0</v>
      </c>
      <c r="I18" s="56" t="str">
        <f t="shared" si="1"/>
        <v/>
      </c>
      <c r="J18" s="57" t="str">
        <f t="shared" si="2"/>
        <v/>
      </c>
      <c r="K18" s="54" t="s">
        <v>9</v>
      </c>
      <c r="L18" s="58" t="str">
        <f>IF(M18="Yes","🔴 BOTTOM",IF(M18="No","✓ Cleared",IF(Q18="MIN",IF(AND(ISNUMBER(F18),ISNUMBER(H18)),IF(H18&lt;F18*'Master Dashboard'!$B$4,"🔴 LOW",""),""),IF(Q18="MAX",IF(AND(ISNUMBER(F18),ISNUMBER(H18)),IF(H18&gt;F18,"🔴 HIGH",""),""),""))))</f>
        <v/>
      </c>
      <c r="M18" s="54" t="s">
        <v>82</v>
      </c>
      <c r="N18" s="59" t="s">
        <v>83</v>
      </c>
      <c r="O18" s="60" t="s">
        <v>84</v>
      </c>
      <c r="P18" s="61" t="s">
        <v>953</v>
      </c>
      <c r="Q18" s="60"/>
      <c r="R18" s="60" t="s">
        <v>954</v>
      </c>
    </row>
    <row r="19">
      <c r="A19" s="48"/>
      <c r="B19" s="49"/>
      <c r="C19" s="50" t="s">
        <v>955</v>
      </c>
      <c r="D19" s="51" t="s">
        <v>363</v>
      </c>
      <c r="E19" s="68">
        <v>0.8</v>
      </c>
      <c r="F19" s="69">
        <v>0.8</v>
      </c>
      <c r="G19" s="54"/>
      <c r="H19" s="70">
        <v>0.0</v>
      </c>
      <c r="I19" s="57" t="str">
        <f t="shared" si="1"/>
        <v/>
      </c>
      <c r="J19" s="57">
        <f t="shared" si="2"/>
        <v>0</v>
      </c>
      <c r="K19" s="54" t="s">
        <v>10</v>
      </c>
      <c r="L19" s="58" t="str">
        <f>IF(M19="Yes","🔴 BOTTOM",IF(M19="No","✓ Cleared",IF(Q19="MIN",IF(AND(ISNUMBER(F19),ISNUMBER(H19)),IF(H19&lt;F19*'Master Dashboard'!$B$4,"🔴 LOW",""),""),IF(Q19="MAX",IF(AND(ISNUMBER(F19),ISNUMBER(H19)),IF(H19&gt;F19,"🔴 HIGH",""),""),""))))</f>
        <v>🔴 LOW</v>
      </c>
      <c r="M19" s="54" t="s">
        <v>82</v>
      </c>
      <c r="N19" s="59" t="s">
        <v>83</v>
      </c>
      <c r="O19" s="60" t="s">
        <v>84</v>
      </c>
      <c r="P19" s="61" t="s">
        <v>956</v>
      </c>
      <c r="Q19" s="60" t="s">
        <v>110</v>
      </c>
      <c r="R19" s="60" t="s">
        <v>957</v>
      </c>
    </row>
    <row r="20">
      <c r="A20" s="48"/>
      <c r="B20" s="49"/>
      <c r="C20" s="50" t="s">
        <v>958</v>
      </c>
      <c r="D20" s="51" t="s">
        <v>363</v>
      </c>
      <c r="E20" s="68">
        <v>0.8</v>
      </c>
      <c r="F20" s="69">
        <v>0.8</v>
      </c>
      <c r="G20" s="54"/>
      <c r="H20" s="70">
        <v>0.0</v>
      </c>
      <c r="I20" s="57" t="str">
        <f t="shared" si="1"/>
        <v/>
      </c>
      <c r="J20" s="57">
        <f t="shared" si="2"/>
        <v>0</v>
      </c>
      <c r="K20" s="54" t="s">
        <v>10</v>
      </c>
      <c r="L20" s="58" t="str">
        <f>IF(M20="Yes","🔴 BOTTOM",IF(M20="No","✓ Cleared",IF(Q20="MIN",IF(AND(ISNUMBER(F20),ISNUMBER(H20)),IF(H20&lt;F20*'Master Dashboard'!$B$4,"🔴 LOW",""),""),IF(Q20="MAX",IF(AND(ISNUMBER(F20),ISNUMBER(H20)),IF(H20&gt;F20,"🔴 HIGH",""),""),""))))</f>
        <v>🔴 LOW</v>
      </c>
      <c r="M20" s="54" t="s">
        <v>82</v>
      </c>
      <c r="N20" s="59" t="s">
        <v>83</v>
      </c>
      <c r="O20" s="60" t="s">
        <v>84</v>
      </c>
      <c r="P20" s="61" t="s">
        <v>959</v>
      </c>
      <c r="Q20" s="60" t="s">
        <v>110</v>
      </c>
      <c r="R20" s="60" t="s">
        <v>960</v>
      </c>
    </row>
    <row r="21" ht="15.75" customHeight="1">
      <c r="A21" s="48"/>
      <c r="B21" s="49"/>
      <c r="C21" s="50" t="s">
        <v>961</v>
      </c>
      <c r="D21" s="51" t="s">
        <v>363</v>
      </c>
      <c r="E21" s="68">
        <v>0.8</v>
      </c>
      <c r="F21" s="69">
        <v>0.8</v>
      </c>
      <c r="G21" s="54"/>
      <c r="H21" s="70">
        <v>0.25</v>
      </c>
      <c r="I21" s="57" t="str">
        <f t="shared" si="1"/>
        <v/>
      </c>
      <c r="J21" s="57">
        <f t="shared" si="2"/>
        <v>0.3125</v>
      </c>
      <c r="K21" s="54" t="s">
        <v>10</v>
      </c>
      <c r="L21" s="58" t="str">
        <f>IF(M21="Yes","🔴 BOTTOM",IF(M21="No","✓ Cleared",IF(Q21="MIN",IF(AND(ISNUMBER(F21),ISNUMBER(H21)),IF(H21&lt;F21*'Master Dashboard'!$B$4,"🔴 LOW",""),""),IF(Q21="MAX",IF(AND(ISNUMBER(F21),ISNUMBER(H21)),IF(H21&gt;F21,"🔴 HIGH",""),""),""))))</f>
        <v>🔴 LOW</v>
      </c>
      <c r="M21" s="54" t="s">
        <v>82</v>
      </c>
      <c r="N21" s="59" t="s">
        <v>83</v>
      </c>
      <c r="O21" s="60" t="s">
        <v>84</v>
      </c>
      <c r="P21" s="61" t="s">
        <v>962</v>
      </c>
      <c r="Q21" s="60" t="s">
        <v>110</v>
      </c>
      <c r="R21" s="60" t="s">
        <v>963</v>
      </c>
    </row>
    <row r="22" ht="15.75" customHeight="1">
      <c r="A22" s="48"/>
      <c r="B22" s="49"/>
      <c r="C22" s="50" t="s">
        <v>964</v>
      </c>
      <c r="D22" s="51" t="s">
        <v>363</v>
      </c>
      <c r="E22" s="68">
        <v>0.8</v>
      </c>
      <c r="F22" s="69">
        <v>0.8</v>
      </c>
      <c r="G22" s="54"/>
      <c r="H22" s="70">
        <v>0.33</v>
      </c>
      <c r="I22" s="57" t="str">
        <f t="shared" si="1"/>
        <v/>
      </c>
      <c r="J22" s="57">
        <f t="shared" si="2"/>
        <v>0.4125</v>
      </c>
      <c r="K22" s="54" t="s">
        <v>10</v>
      </c>
      <c r="L22" s="58" t="str">
        <f>IF(M22="Yes","🔴 BOTTOM",IF(M22="No","✓ Cleared",IF(Q22="MIN",IF(AND(ISNUMBER(F22),ISNUMBER(H22)),IF(H22&lt;F22*'Master Dashboard'!$B$4,"🔴 LOW",""),""),IF(Q22="MAX",IF(AND(ISNUMBER(F22),ISNUMBER(H22)),IF(H22&gt;F22,"🔴 HIGH",""),""),""))))</f>
        <v>🔴 LOW</v>
      </c>
      <c r="M22" s="54" t="s">
        <v>82</v>
      </c>
      <c r="N22" s="59" t="s">
        <v>83</v>
      </c>
      <c r="O22" s="60" t="s">
        <v>84</v>
      </c>
      <c r="P22" s="61" t="s">
        <v>965</v>
      </c>
      <c r="Q22" s="60" t="s">
        <v>110</v>
      </c>
      <c r="R22" s="60" t="s">
        <v>966</v>
      </c>
    </row>
    <row r="23" ht="15.75" customHeight="1">
      <c r="A23" s="48"/>
      <c r="B23" s="49"/>
      <c r="C23" s="50" t="s">
        <v>967</v>
      </c>
      <c r="D23" s="51" t="s">
        <v>363</v>
      </c>
      <c r="E23" s="68">
        <v>0.8</v>
      </c>
      <c r="F23" s="69">
        <v>0.8</v>
      </c>
      <c r="G23" s="54"/>
      <c r="H23" s="70">
        <v>0.5</v>
      </c>
      <c r="I23" s="57" t="str">
        <f t="shared" si="1"/>
        <v/>
      </c>
      <c r="J23" s="57">
        <f t="shared" si="2"/>
        <v>0.625</v>
      </c>
      <c r="K23" s="54" t="s">
        <v>9</v>
      </c>
      <c r="L23" s="58" t="str">
        <f>IF(M23="Yes","🔴 BOTTOM",IF(M23="No","✓ Cleared",IF(Q23="MIN",IF(AND(ISNUMBER(F23),ISNUMBER(H23)),IF(H23&lt;F23*'Master Dashboard'!$B$4,"🔴 LOW",""),""),IF(Q23="MAX",IF(AND(ISNUMBER(F23),ISNUMBER(H23)),IF(H23&gt;F23,"🔴 HIGH",""),""),""))))</f>
        <v>🔴 LOW</v>
      </c>
      <c r="M23" s="54" t="s">
        <v>82</v>
      </c>
      <c r="N23" s="59" t="s">
        <v>83</v>
      </c>
      <c r="O23" s="60" t="s">
        <v>84</v>
      </c>
      <c r="P23" s="61" t="s">
        <v>968</v>
      </c>
      <c r="Q23" s="60" t="s">
        <v>110</v>
      </c>
      <c r="R23" s="60" t="s">
        <v>969</v>
      </c>
    </row>
    <row r="24" ht="15.75" customHeight="1">
      <c r="A24" s="48"/>
      <c r="B24" s="49"/>
      <c r="C24" s="50" t="s">
        <v>970</v>
      </c>
      <c r="D24" s="51" t="s">
        <v>363</v>
      </c>
      <c r="E24" s="68">
        <v>0.8</v>
      </c>
      <c r="F24" s="69">
        <v>0.8</v>
      </c>
      <c r="G24" s="54"/>
      <c r="H24" s="70">
        <v>0.5</v>
      </c>
      <c r="I24" s="57" t="str">
        <f t="shared" si="1"/>
        <v/>
      </c>
      <c r="J24" s="57">
        <f t="shared" si="2"/>
        <v>0.625</v>
      </c>
      <c r="K24" s="54" t="s">
        <v>9</v>
      </c>
      <c r="L24" s="58" t="str">
        <f>IF(M24="Yes","🔴 BOTTOM",IF(M24="No","✓ Cleared",IF(Q24="MIN",IF(AND(ISNUMBER(F24),ISNUMBER(H24)),IF(H24&lt;F24*'Master Dashboard'!$B$4,"🔴 LOW",""),""),IF(Q24="MAX",IF(AND(ISNUMBER(F24),ISNUMBER(H24)),IF(H24&gt;F24,"🔴 HIGH",""),""),""))))</f>
        <v>🔴 LOW</v>
      </c>
      <c r="M24" s="54" t="s">
        <v>82</v>
      </c>
      <c r="N24" s="59" t="s">
        <v>83</v>
      </c>
      <c r="O24" s="60" t="s">
        <v>84</v>
      </c>
      <c r="P24" s="61" t="s">
        <v>971</v>
      </c>
      <c r="Q24" s="60" t="s">
        <v>110</v>
      </c>
      <c r="R24" s="60" t="s">
        <v>972</v>
      </c>
    </row>
    <row r="25" ht="15.75" customHeight="1">
      <c r="A25" s="35">
        <v>2.0</v>
      </c>
      <c r="B25" s="36" t="s">
        <v>973</v>
      </c>
      <c r="C25" s="37" t="s">
        <v>974</v>
      </c>
      <c r="D25" s="38"/>
      <c r="E25" s="39"/>
      <c r="F25" s="40"/>
      <c r="G25" s="41"/>
      <c r="H25" s="42">
        <v>113.5</v>
      </c>
      <c r="I25" s="43"/>
      <c r="J25" s="43"/>
      <c r="K25" s="43"/>
      <c r="L25" s="43"/>
      <c r="M25" s="43"/>
      <c r="N25" s="43"/>
      <c r="O25" s="43"/>
      <c r="P25" s="44" t="s">
        <v>975</v>
      </c>
      <c r="Q25" s="45"/>
      <c r="R25" s="45"/>
    </row>
    <row r="26" ht="15.75" customHeight="1">
      <c r="A26" s="48"/>
      <c r="B26" s="49"/>
      <c r="C26" s="50" t="s">
        <v>976</v>
      </c>
      <c r="D26" s="51" t="s">
        <v>650</v>
      </c>
      <c r="E26" s="52"/>
      <c r="F26" s="53"/>
      <c r="G26" s="54"/>
      <c r="H26" s="55">
        <v>113.5</v>
      </c>
      <c r="I26" s="56" t="str">
        <f t="shared" ref="I26:I31" si="3">IF(AND(ISNUMBER(G26),ISNUMBER(H26)),H26-G26,"")</f>
        <v/>
      </c>
      <c r="J26" s="57" t="str">
        <f t="shared" ref="J26:J31" si="4">IF(AND(ISNUMBER(E26),E26&gt;0,ISNUMBER(H26)),H26/E26,"")</f>
        <v/>
      </c>
      <c r="K26" s="54" t="s">
        <v>9</v>
      </c>
      <c r="L26" s="58" t="str">
        <f>IF(M26="Yes","🔴 BOTTOM",IF(M26="No","✓ Cleared",IF(Q26="MIN",IF(AND(ISNUMBER(F26),ISNUMBER(H26)),IF(H26&lt;F26*'Master Dashboard'!$B$4,"🔴 LOW",""),""),IF(Q26="MAX",IF(AND(ISNUMBER(F26),ISNUMBER(H26)),IF(H26&gt;F26,"🔴 HIGH",""),""),""))))</f>
        <v/>
      </c>
      <c r="M26" s="54" t="s">
        <v>82</v>
      </c>
      <c r="N26" s="59" t="s">
        <v>83</v>
      </c>
      <c r="O26" s="60" t="s">
        <v>84</v>
      </c>
      <c r="P26" s="61" t="s">
        <v>977</v>
      </c>
      <c r="Q26" s="60"/>
      <c r="R26" s="60" t="s">
        <v>978</v>
      </c>
    </row>
    <row r="27" ht="15.75" customHeight="1">
      <c r="A27" s="48"/>
      <c r="B27" s="49"/>
      <c r="C27" s="50" t="s">
        <v>979</v>
      </c>
      <c r="D27" s="51" t="s">
        <v>380</v>
      </c>
      <c r="E27" s="52"/>
      <c r="F27" s="53"/>
      <c r="G27" s="54"/>
      <c r="H27" s="71"/>
      <c r="I27" s="56" t="str">
        <f t="shared" si="3"/>
        <v/>
      </c>
      <c r="J27" s="57" t="str">
        <f t="shared" si="4"/>
        <v/>
      </c>
      <c r="K27" s="54" t="s">
        <v>9</v>
      </c>
      <c r="L27" s="58" t="str">
        <f>IF(M27="Yes","🔴 BOTTOM",IF(M27="No","✓ Cleared",IF(Q27="MIN",IF(AND(ISNUMBER(F27),ISNUMBER(H27)),IF(H27&lt;F27*'Master Dashboard'!$B$4,"🔴 LOW",""),""),IF(Q27="MAX",IF(AND(ISNUMBER(F27),ISNUMBER(H27)),IF(H27&gt;F27,"🔴 HIGH",""),""),""))))</f>
        <v/>
      </c>
      <c r="M27" s="54" t="s">
        <v>82</v>
      </c>
      <c r="N27" s="59"/>
      <c r="O27" s="60"/>
      <c r="P27" s="61" t="s">
        <v>980</v>
      </c>
      <c r="Q27" s="60"/>
      <c r="R27" s="60" t="s">
        <v>981</v>
      </c>
    </row>
    <row r="28" ht="15.75" customHeight="1">
      <c r="A28" s="48"/>
      <c r="B28" s="49"/>
      <c r="C28" s="50" t="s">
        <v>982</v>
      </c>
      <c r="D28" s="51" t="s">
        <v>380</v>
      </c>
      <c r="E28" s="52"/>
      <c r="F28" s="53"/>
      <c r="G28" s="54"/>
      <c r="H28" s="71"/>
      <c r="I28" s="56" t="str">
        <f t="shared" si="3"/>
        <v/>
      </c>
      <c r="J28" s="57" t="str">
        <f t="shared" si="4"/>
        <v/>
      </c>
      <c r="K28" s="54" t="s">
        <v>9</v>
      </c>
      <c r="L28" s="58" t="str">
        <f>IF(M28="Yes","🔴 BOTTOM",IF(M28="No","✓ Cleared",IF(Q28="MIN",IF(AND(ISNUMBER(F28),ISNUMBER(H28)),IF(H28&lt;F28*'Master Dashboard'!$B$4,"🔴 LOW",""),""),IF(Q28="MAX",IF(AND(ISNUMBER(F28),ISNUMBER(H28)),IF(H28&gt;F28,"🔴 HIGH",""),""),""))))</f>
        <v/>
      </c>
      <c r="M28" s="54" t="s">
        <v>82</v>
      </c>
      <c r="N28" s="59"/>
      <c r="O28" s="60"/>
      <c r="P28" s="61" t="s">
        <v>980</v>
      </c>
      <c r="Q28" s="60"/>
      <c r="R28" s="60" t="s">
        <v>983</v>
      </c>
    </row>
    <row r="29" ht="15.75" customHeight="1">
      <c r="A29" s="48"/>
      <c r="B29" s="49"/>
      <c r="C29" s="50" t="s">
        <v>984</v>
      </c>
      <c r="D29" s="51" t="s">
        <v>380</v>
      </c>
      <c r="E29" s="52"/>
      <c r="F29" s="53"/>
      <c r="G29" s="54"/>
      <c r="H29" s="71"/>
      <c r="I29" s="56" t="str">
        <f t="shared" si="3"/>
        <v/>
      </c>
      <c r="J29" s="57" t="str">
        <f t="shared" si="4"/>
        <v/>
      </c>
      <c r="K29" s="54" t="s">
        <v>9</v>
      </c>
      <c r="L29" s="58" t="str">
        <f>IF(M29="Yes","🔴 BOTTOM",IF(M29="No","✓ Cleared",IF(Q29="MIN",IF(AND(ISNUMBER(F29),ISNUMBER(H29)),IF(H29&lt;F29*'Master Dashboard'!$B$4,"🔴 LOW",""),""),IF(Q29="MAX",IF(AND(ISNUMBER(F29),ISNUMBER(H29)),IF(H29&gt;F29,"🔴 HIGH",""),""),""))))</f>
        <v/>
      </c>
      <c r="M29" s="54" t="s">
        <v>82</v>
      </c>
      <c r="N29" s="59"/>
      <c r="O29" s="60"/>
      <c r="P29" s="61" t="s">
        <v>980</v>
      </c>
      <c r="Q29" s="60"/>
      <c r="R29" s="60" t="s">
        <v>985</v>
      </c>
    </row>
    <row r="30" ht="15.75" customHeight="1">
      <c r="A30" s="48"/>
      <c r="B30" s="49"/>
      <c r="C30" s="50" t="s">
        <v>986</v>
      </c>
      <c r="D30" s="51" t="s">
        <v>380</v>
      </c>
      <c r="E30" s="52"/>
      <c r="F30" s="53"/>
      <c r="G30" s="54"/>
      <c r="H30" s="71"/>
      <c r="I30" s="56" t="str">
        <f t="shared" si="3"/>
        <v/>
      </c>
      <c r="J30" s="57" t="str">
        <f t="shared" si="4"/>
        <v/>
      </c>
      <c r="K30" s="54" t="s">
        <v>9</v>
      </c>
      <c r="L30" s="58" t="str">
        <f>IF(M30="Yes","🔴 BOTTOM",IF(M30="No","✓ Cleared",IF(Q30="MIN",IF(AND(ISNUMBER(F30),ISNUMBER(H30)),IF(H30&lt;F30*'Master Dashboard'!$B$4,"🔴 LOW",""),""),IF(Q30="MAX",IF(AND(ISNUMBER(F30),ISNUMBER(H30)),IF(H30&gt;F30,"🔴 HIGH",""),""),""))))</f>
        <v/>
      </c>
      <c r="M30" s="54" t="s">
        <v>82</v>
      </c>
      <c r="N30" s="59"/>
      <c r="O30" s="60"/>
      <c r="P30" s="61" t="s">
        <v>980</v>
      </c>
      <c r="Q30" s="60"/>
      <c r="R30" s="60" t="s">
        <v>987</v>
      </c>
    </row>
    <row r="31" ht="15.75" customHeight="1">
      <c r="A31" s="48"/>
      <c r="B31" s="49"/>
      <c r="C31" s="50" t="s">
        <v>988</v>
      </c>
      <c r="D31" s="51" t="s">
        <v>380</v>
      </c>
      <c r="E31" s="52"/>
      <c r="F31" s="53"/>
      <c r="G31" s="54"/>
      <c r="H31" s="71"/>
      <c r="I31" s="56" t="str">
        <f t="shared" si="3"/>
        <v/>
      </c>
      <c r="J31" s="57" t="str">
        <f t="shared" si="4"/>
        <v/>
      </c>
      <c r="K31" s="54" t="s">
        <v>9</v>
      </c>
      <c r="L31" s="58" t="str">
        <f>IF(M31="Yes","🔴 BOTTOM",IF(M31="No","✓ Cleared",IF(Q31="MIN",IF(AND(ISNUMBER(F31),ISNUMBER(H31)),IF(H31&lt;F31*'Master Dashboard'!$B$4,"🔴 LOW",""),""),IF(Q31="MAX",IF(AND(ISNUMBER(F31),ISNUMBER(H31)),IF(H31&gt;F31,"🔴 HIGH",""),""),""))))</f>
        <v/>
      </c>
      <c r="M31" s="54" t="s">
        <v>82</v>
      </c>
      <c r="N31" s="59"/>
      <c r="O31" s="60"/>
      <c r="P31" s="61" t="s">
        <v>980</v>
      </c>
      <c r="Q31" s="60"/>
      <c r="R31" s="60" t="s">
        <v>989</v>
      </c>
    </row>
    <row r="32" ht="19.5" customHeight="1">
      <c r="A32" s="67" t="s">
        <v>360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 ht="15.75" customHeight="1">
      <c r="A33" s="35">
        <v>3.0</v>
      </c>
      <c r="B33" s="36" t="s">
        <v>990</v>
      </c>
      <c r="C33" s="50" t="s">
        <v>991</v>
      </c>
      <c r="D33" s="51" t="s">
        <v>367</v>
      </c>
      <c r="E33" s="52"/>
      <c r="F33" s="53"/>
      <c r="G33" s="54"/>
      <c r="H33" s="71"/>
      <c r="I33" s="56" t="str">
        <f t="shared" ref="I33:I37" si="5">IF(AND(ISNUMBER(G33),ISNUMBER(H33)),H33-G33,"")</f>
        <v/>
      </c>
      <c r="J33" s="57" t="str">
        <f t="shared" ref="J33:J37" si="6">IF(AND(ISNUMBER(E33),E33&gt;0,ISNUMBER(H33)),H33/E33,"")</f>
        <v/>
      </c>
      <c r="K33" s="54" t="s">
        <v>8</v>
      </c>
      <c r="L33" s="58" t="str">
        <f>IF(M33="Yes","🔴 BOTTOM",IF(M33="No","✓ Cleared",IF(Q33="MIN",IF(AND(ISNUMBER(F33),ISNUMBER(H33)),IF(H33&lt;F33*'Master Dashboard'!$B$4,"🔴 LOW",""),""),IF(Q33="MAX",IF(AND(ISNUMBER(F33),ISNUMBER(H33)),IF(H33&gt;F33,"🔴 HIGH",""),""),""))))</f>
        <v/>
      </c>
      <c r="M33" s="54" t="s">
        <v>82</v>
      </c>
      <c r="N33" s="59"/>
      <c r="O33" s="60"/>
      <c r="P33" s="61" t="s">
        <v>992</v>
      </c>
      <c r="Q33" s="60"/>
      <c r="R33" s="60" t="s">
        <v>993</v>
      </c>
    </row>
    <row r="34" ht="15.75" customHeight="1">
      <c r="A34" s="35">
        <v>4.0</v>
      </c>
      <c r="B34" s="36" t="s">
        <v>994</v>
      </c>
      <c r="C34" s="50" t="s">
        <v>995</v>
      </c>
      <c r="D34" s="51" t="s">
        <v>380</v>
      </c>
      <c r="E34" s="52"/>
      <c r="F34" s="53"/>
      <c r="G34" s="54"/>
      <c r="H34" s="71"/>
      <c r="I34" s="56" t="str">
        <f t="shared" si="5"/>
        <v/>
      </c>
      <c r="J34" s="57" t="str">
        <f t="shared" si="6"/>
        <v/>
      </c>
      <c r="K34" s="54" t="s">
        <v>9</v>
      </c>
      <c r="L34" s="58" t="str">
        <f>IF(M34="Yes","🔴 BOTTOM",IF(M34="No","✓ Cleared",IF(Q34="MIN",IF(AND(ISNUMBER(F34),ISNUMBER(H34)),IF(H34&lt;F34*'Master Dashboard'!$B$4,"🔴 LOW",""),""),IF(Q34="MAX",IF(AND(ISNUMBER(F34),ISNUMBER(H34)),IF(H34&gt;F34,"🔴 HIGH",""),""),""))))</f>
        <v/>
      </c>
      <c r="M34" s="54" t="s">
        <v>82</v>
      </c>
      <c r="N34" s="59"/>
      <c r="O34" s="60"/>
      <c r="P34" s="61" t="s">
        <v>692</v>
      </c>
      <c r="Q34" s="60"/>
      <c r="R34" s="60" t="s">
        <v>996</v>
      </c>
    </row>
    <row r="35" ht="15.75" customHeight="1">
      <c r="A35" s="35">
        <v>5.0</v>
      </c>
      <c r="B35" s="36" t="s">
        <v>997</v>
      </c>
      <c r="C35" s="50" t="s">
        <v>998</v>
      </c>
      <c r="D35" s="51" t="s">
        <v>380</v>
      </c>
      <c r="E35" s="52"/>
      <c r="F35" s="53"/>
      <c r="G35" s="54"/>
      <c r="H35" s="71"/>
      <c r="I35" s="56" t="str">
        <f t="shared" si="5"/>
        <v/>
      </c>
      <c r="J35" s="57" t="str">
        <f t="shared" si="6"/>
        <v/>
      </c>
      <c r="K35" s="54" t="s">
        <v>10</v>
      </c>
      <c r="L35" s="58" t="str">
        <f>IF(M35="Yes","🔴 BOTTOM",IF(M35="No","✓ Cleared",IF(Q35="MIN",IF(AND(ISNUMBER(F35),ISNUMBER(H35)),IF(H35&lt;F35*'Master Dashboard'!$B$4,"🔴 LOW",""),""),IF(Q35="MAX",IF(AND(ISNUMBER(F35),ISNUMBER(H35)),IF(H35&gt;F35,"🔴 HIGH",""),""),""))))</f>
        <v/>
      </c>
      <c r="M35" s="54" t="s">
        <v>82</v>
      </c>
      <c r="N35" s="59"/>
      <c r="O35" s="60"/>
      <c r="P35" s="61" t="s">
        <v>999</v>
      </c>
      <c r="Q35" s="60"/>
      <c r="R35" s="60" t="s">
        <v>1000</v>
      </c>
    </row>
    <row r="36" ht="15.75" customHeight="1">
      <c r="A36" s="35">
        <v>6.0</v>
      </c>
      <c r="B36" s="36" t="s">
        <v>1001</v>
      </c>
      <c r="C36" s="50" t="s">
        <v>1002</v>
      </c>
      <c r="D36" s="51" t="s">
        <v>380</v>
      </c>
      <c r="E36" s="52"/>
      <c r="F36" s="53"/>
      <c r="G36" s="54"/>
      <c r="H36" s="71"/>
      <c r="I36" s="56" t="str">
        <f t="shared" si="5"/>
        <v/>
      </c>
      <c r="J36" s="57" t="str">
        <f t="shared" si="6"/>
        <v/>
      </c>
      <c r="K36" s="54" t="s">
        <v>9</v>
      </c>
      <c r="L36" s="58" t="str">
        <f>IF(M36="Yes","🔴 BOTTOM",IF(M36="No","✓ Cleared",IF(Q36="MIN",IF(AND(ISNUMBER(F36),ISNUMBER(H36)),IF(H36&lt;F36*'Master Dashboard'!$B$4,"🔴 LOW",""),""),IF(Q36="MAX",IF(AND(ISNUMBER(F36),ISNUMBER(H36)),IF(H36&gt;F36,"🔴 HIGH",""),""),""))))</f>
        <v/>
      </c>
      <c r="M36" s="54" t="s">
        <v>82</v>
      </c>
      <c r="N36" s="59"/>
      <c r="O36" s="60"/>
      <c r="P36" s="61" t="s">
        <v>1003</v>
      </c>
      <c r="Q36" s="60"/>
      <c r="R36" s="60" t="s">
        <v>1004</v>
      </c>
    </row>
    <row r="37" ht="15.75" customHeight="1">
      <c r="A37" s="35">
        <v>7.0</v>
      </c>
      <c r="B37" s="36" t="s">
        <v>1005</v>
      </c>
      <c r="C37" s="50" t="s">
        <v>1006</v>
      </c>
      <c r="D37" s="51" t="s">
        <v>363</v>
      </c>
      <c r="E37" s="68">
        <v>1.0</v>
      </c>
      <c r="F37" s="69">
        <v>1.0</v>
      </c>
      <c r="G37" s="54"/>
      <c r="H37" s="71"/>
      <c r="I37" s="57" t="str">
        <f t="shared" si="5"/>
        <v/>
      </c>
      <c r="J37" s="57" t="str">
        <f t="shared" si="6"/>
        <v/>
      </c>
      <c r="K37" s="54" t="s">
        <v>9</v>
      </c>
      <c r="L37" s="58" t="str">
        <f>IF(M37="Yes","🔴 BOTTOM",IF(M37="No","✓ Cleared",IF(Q37="MIN",IF(AND(ISNUMBER(F37),ISNUMBER(H37)),IF(H37&lt;F37*'Master Dashboard'!$B$4,"🔴 LOW",""),""),IF(Q37="MAX",IF(AND(ISNUMBER(F37),ISNUMBER(H37)),IF(H37&gt;F37,"🔴 HIGH",""),""),""))))</f>
        <v/>
      </c>
      <c r="M37" s="54" t="s">
        <v>82</v>
      </c>
      <c r="N37" s="59"/>
      <c r="O37" s="60"/>
      <c r="P37" s="61" t="s">
        <v>1007</v>
      </c>
      <c r="Q37" s="60" t="s">
        <v>110</v>
      </c>
      <c r="R37" s="60" t="s">
        <v>1008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37"/>
  <mergeCells count="3">
    <mergeCell ref="A1:P1"/>
    <mergeCell ref="A3:P3"/>
    <mergeCell ref="A32:P32"/>
  </mergeCells>
  <conditionalFormatting sqref="K3:K37">
    <cfRule type="cellIs" dxfId="0" priority="1" operator="equal">
      <formula>"Completed"</formula>
    </cfRule>
  </conditionalFormatting>
  <conditionalFormatting sqref="K3:K37">
    <cfRule type="cellIs" dxfId="1" priority="2" operator="equal">
      <formula>"On Track"</formula>
    </cfRule>
  </conditionalFormatting>
  <conditionalFormatting sqref="K3:K37">
    <cfRule type="cellIs" dxfId="2" priority="3" operator="equal">
      <formula>"In Progress"</formula>
    </cfRule>
  </conditionalFormatting>
  <conditionalFormatting sqref="K3:K37">
    <cfRule type="cellIs" dxfId="3" priority="4" operator="equal">
      <formula>"Pending/Blocked"</formula>
    </cfRule>
  </conditionalFormatting>
  <conditionalFormatting sqref="K3:K37">
    <cfRule type="cellIs" dxfId="4" priority="5" operator="equal">
      <formula>"Not Started"</formula>
    </cfRule>
  </conditionalFormatting>
  <conditionalFormatting sqref="L3:L37">
    <cfRule type="expression" dxfId="5" priority="6">
      <formula>ISNUMBER(SEARCH("BOTTOM",L3))</formula>
    </cfRule>
  </conditionalFormatting>
  <conditionalFormatting sqref="L3:L37">
    <cfRule type="expression" dxfId="6" priority="7">
      <formula>OR(ISNUMBER(SEARCH("LOW",L3)),ISNUMBER(SEARCH("HIGH",L3)))</formula>
    </cfRule>
  </conditionalFormatting>
  <conditionalFormatting sqref="L3:L37">
    <cfRule type="expression" dxfId="0" priority="8">
      <formula>ISNUMBER(SEARCH("Cleared",L3))</formula>
    </cfRule>
  </conditionalFormatting>
  <dataValidations>
    <dataValidation type="list" allowBlank="1" sqref="K4:K31 K33:K37">
      <formula1>"Not Started,In Progress,Pending/Blocked,On Track,Completed"</formula1>
    </dataValidation>
    <dataValidation type="list" allowBlank="1" sqref="M4:M31 M33:M37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1009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3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1010</v>
      </c>
      <c r="C4" s="50" t="s">
        <v>1011</v>
      </c>
      <c r="D4" s="51" t="s">
        <v>1012</v>
      </c>
      <c r="E4" s="52"/>
      <c r="F4" s="53"/>
      <c r="G4" s="54"/>
      <c r="H4" s="55">
        <v>3.0</v>
      </c>
      <c r="I4" s="56" t="str">
        <f t="shared" ref="I4:I8" si="1">IF(AND(ISNUMBER(G4),ISNUMBER(H4)),H4-G4,"")</f>
        <v/>
      </c>
      <c r="J4" s="57" t="str">
        <f t="shared" ref="J4:J8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 t="s">
        <v>83</v>
      </c>
      <c r="O4" s="60" t="s">
        <v>84</v>
      </c>
      <c r="P4" s="61" t="s">
        <v>1013</v>
      </c>
      <c r="Q4" s="60"/>
      <c r="R4" s="60" t="s">
        <v>1014</v>
      </c>
    </row>
    <row r="5">
      <c r="A5" s="48"/>
      <c r="B5" s="49"/>
      <c r="C5" s="50" t="s">
        <v>1015</v>
      </c>
      <c r="D5" s="51" t="s">
        <v>1012</v>
      </c>
      <c r="E5" s="62">
        <v>0.0</v>
      </c>
      <c r="F5" s="63">
        <v>0.0</v>
      </c>
      <c r="G5" s="54"/>
      <c r="H5" s="55">
        <v>4.0</v>
      </c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>🔴 HIGH</v>
      </c>
      <c r="M5" s="54" t="s">
        <v>82</v>
      </c>
      <c r="N5" s="59" t="s">
        <v>83</v>
      </c>
      <c r="O5" s="60" t="s">
        <v>84</v>
      </c>
      <c r="P5" s="61" t="s">
        <v>1016</v>
      </c>
      <c r="Q5" s="60" t="s">
        <v>114</v>
      </c>
      <c r="R5" s="60" t="s">
        <v>1017</v>
      </c>
    </row>
    <row r="6">
      <c r="A6" s="48"/>
      <c r="B6" s="49"/>
      <c r="C6" s="50" t="s">
        <v>1018</v>
      </c>
      <c r="D6" s="51" t="s">
        <v>1012</v>
      </c>
      <c r="E6" s="52"/>
      <c r="F6" s="53"/>
      <c r="G6" s="54"/>
      <c r="H6" s="55">
        <v>8.0</v>
      </c>
      <c r="I6" s="56" t="str">
        <f t="shared" si="1"/>
        <v/>
      </c>
      <c r="J6" s="57" t="str">
        <f t="shared" si="2"/>
        <v/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 t="s">
        <v>83</v>
      </c>
      <c r="O6" s="60" t="s">
        <v>84</v>
      </c>
      <c r="P6" s="61"/>
      <c r="Q6" s="60"/>
      <c r="R6" s="60" t="s">
        <v>1019</v>
      </c>
    </row>
    <row r="7">
      <c r="A7" s="48"/>
      <c r="B7" s="49"/>
      <c r="C7" s="50" t="s">
        <v>1020</v>
      </c>
      <c r="D7" s="51" t="s">
        <v>1012</v>
      </c>
      <c r="E7" s="62">
        <v>0.0</v>
      </c>
      <c r="F7" s="63">
        <v>0.0</v>
      </c>
      <c r="G7" s="54"/>
      <c r="H7" s="55">
        <v>5.0</v>
      </c>
      <c r="I7" s="56" t="str">
        <f t="shared" si="1"/>
        <v/>
      </c>
      <c r="J7" s="57" t="str">
        <f t="shared" si="2"/>
        <v/>
      </c>
      <c r="K7" s="54" t="s">
        <v>10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HIGH</v>
      </c>
      <c r="M7" s="54" t="s">
        <v>82</v>
      </c>
      <c r="N7" s="59" t="s">
        <v>83</v>
      </c>
      <c r="O7" s="60" t="s">
        <v>84</v>
      </c>
      <c r="P7" s="61" t="s">
        <v>1021</v>
      </c>
      <c r="Q7" s="60" t="s">
        <v>114</v>
      </c>
      <c r="R7" s="60" t="s">
        <v>1022</v>
      </c>
    </row>
    <row r="8">
      <c r="A8" s="48"/>
      <c r="B8" s="49"/>
      <c r="C8" s="50" t="s">
        <v>1023</v>
      </c>
      <c r="D8" s="51" t="s">
        <v>1012</v>
      </c>
      <c r="E8" s="52"/>
      <c r="F8" s="53"/>
      <c r="G8" s="54"/>
      <c r="H8" s="55">
        <v>3.0</v>
      </c>
      <c r="I8" s="56" t="str">
        <f t="shared" si="1"/>
        <v/>
      </c>
      <c r="J8" s="57" t="str">
        <f t="shared" si="2"/>
        <v/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 t="s">
        <v>83</v>
      </c>
      <c r="O8" s="60" t="s">
        <v>84</v>
      </c>
      <c r="P8" s="61" t="s">
        <v>1024</v>
      </c>
      <c r="Q8" s="60"/>
      <c r="R8" s="60" t="s">
        <v>1025</v>
      </c>
    </row>
    <row r="9">
      <c r="A9" s="35">
        <v>2.0</v>
      </c>
      <c r="B9" s="36" t="s">
        <v>1026</v>
      </c>
      <c r="C9" s="37" t="s">
        <v>1027</v>
      </c>
      <c r="D9" s="38"/>
      <c r="E9" s="39"/>
      <c r="F9" s="40"/>
      <c r="G9" s="41"/>
      <c r="H9" s="42">
        <v>4.0</v>
      </c>
      <c r="I9" s="43"/>
      <c r="J9" s="43"/>
      <c r="K9" s="43"/>
      <c r="L9" s="43"/>
      <c r="M9" s="43"/>
      <c r="N9" s="43"/>
      <c r="O9" s="43"/>
      <c r="P9" s="44" t="s">
        <v>1028</v>
      </c>
      <c r="Q9" s="45"/>
      <c r="R9" s="45"/>
    </row>
    <row r="10">
      <c r="A10" s="48"/>
      <c r="B10" s="49"/>
      <c r="C10" s="50" t="s">
        <v>1029</v>
      </c>
      <c r="D10" s="51" t="s">
        <v>309</v>
      </c>
      <c r="E10" s="62">
        <v>0.0</v>
      </c>
      <c r="F10" s="63">
        <v>5.0</v>
      </c>
      <c r="G10" s="56">
        <v>23.0</v>
      </c>
      <c r="H10" s="55">
        <v>18.0</v>
      </c>
      <c r="I10" s="56">
        <f t="shared" ref="I10:I18" si="3">IF(AND(ISNUMBER(G10),ISNUMBER(H10)),H10-G10,"")</f>
        <v>-5</v>
      </c>
      <c r="J10" s="57" t="str">
        <f t="shared" ref="J10:J18" si="4">IF(AND(ISNUMBER(E10),E10&gt;0,ISNUMBER(H10)),H10/E10,"")</f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>🔴 HIGH</v>
      </c>
      <c r="M10" s="54" t="s">
        <v>82</v>
      </c>
      <c r="N10" s="59" t="s">
        <v>83</v>
      </c>
      <c r="O10" s="60" t="s">
        <v>84</v>
      </c>
      <c r="P10" s="61"/>
      <c r="Q10" s="60" t="s">
        <v>114</v>
      </c>
      <c r="R10" s="60" t="s">
        <v>1030</v>
      </c>
    </row>
    <row r="11">
      <c r="A11" s="48"/>
      <c r="B11" s="49"/>
      <c r="C11" s="50" t="s">
        <v>1031</v>
      </c>
      <c r="D11" s="51" t="s">
        <v>309</v>
      </c>
      <c r="E11" s="62">
        <v>0.0</v>
      </c>
      <c r="F11" s="63">
        <v>5.0</v>
      </c>
      <c r="G11" s="56">
        <v>12.0</v>
      </c>
      <c r="H11" s="55">
        <v>12.0</v>
      </c>
      <c r="I11" s="56">
        <f t="shared" si="3"/>
        <v>0</v>
      </c>
      <c r="J11" s="57" t="str">
        <f t="shared" si="4"/>
        <v/>
      </c>
      <c r="K11" s="54" t="s">
        <v>10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>🔴 HIGH</v>
      </c>
      <c r="M11" s="54" t="s">
        <v>82</v>
      </c>
      <c r="N11" s="59" t="s">
        <v>83</v>
      </c>
      <c r="O11" s="60" t="s">
        <v>84</v>
      </c>
      <c r="P11" s="61"/>
      <c r="Q11" s="60" t="s">
        <v>114</v>
      </c>
      <c r="R11" s="60" t="s">
        <v>1032</v>
      </c>
    </row>
    <row r="12">
      <c r="A12" s="48"/>
      <c r="B12" s="49"/>
      <c r="C12" s="50" t="s">
        <v>1033</v>
      </c>
      <c r="D12" s="51" t="s">
        <v>309</v>
      </c>
      <c r="E12" s="62">
        <v>0.0</v>
      </c>
      <c r="F12" s="63">
        <v>5.0</v>
      </c>
      <c r="G12" s="56">
        <v>6.0</v>
      </c>
      <c r="H12" s="55">
        <v>5.0</v>
      </c>
      <c r="I12" s="56">
        <f t="shared" si="3"/>
        <v>-1</v>
      </c>
      <c r="J12" s="57" t="str">
        <f t="shared" si="4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 t="s">
        <v>83</v>
      </c>
      <c r="O12" s="60" t="s">
        <v>84</v>
      </c>
      <c r="P12" s="61" t="s">
        <v>1034</v>
      </c>
      <c r="Q12" s="60" t="s">
        <v>114</v>
      </c>
      <c r="R12" s="60" t="s">
        <v>1035</v>
      </c>
    </row>
    <row r="13">
      <c r="A13" s="48"/>
      <c r="B13" s="49"/>
      <c r="C13" s="50" t="s">
        <v>1036</v>
      </c>
      <c r="D13" s="51" t="s">
        <v>309</v>
      </c>
      <c r="E13" s="62">
        <v>0.0</v>
      </c>
      <c r="F13" s="63">
        <v>5.0</v>
      </c>
      <c r="G13" s="56">
        <v>4.0</v>
      </c>
      <c r="H13" s="55">
        <v>4.0</v>
      </c>
      <c r="I13" s="56">
        <f t="shared" si="3"/>
        <v>0</v>
      </c>
      <c r="J13" s="57" t="str">
        <f t="shared" si="4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/>
      </c>
      <c r="M13" s="54" t="s">
        <v>82</v>
      </c>
      <c r="N13" s="59" t="s">
        <v>83</v>
      </c>
      <c r="O13" s="60" t="s">
        <v>84</v>
      </c>
      <c r="P13" s="61" t="s">
        <v>1034</v>
      </c>
      <c r="Q13" s="60" t="s">
        <v>114</v>
      </c>
      <c r="R13" s="60" t="s">
        <v>1037</v>
      </c>
    </row>
    <row r="14">
      <c r="A14" s="48"/>
      <c r="B14" s="49"/>
      <c r="C14" s="50" t="s">
        <v>1038</v>
      </c>
      <c r="D14" s="51" t="s">
        <v>309</v>
      </c>
      <c r="E14" s="62">
        <v>0.0</v>
      </c>
      <c r="F14" s="63">
        <v>5.0</v>
      </c>
      <c r="G14" s="56">
        <v>9.0</v>
      </c>
      <c r="H14" s="55">
        <v>4.0</v>
      </c>
      <c r="I14" s="56">
        <f t="shared" si="3"/>
        <v>-5</v>
      </c>
      <c r="J14" s="57" t="str">
        <f t="shared" si="4"/>
        <v/>
      </c>
      <c r="K14" s="54" t="s">
        <v>9</v>
      </c>
      <c r="L14" s="58" t="str">
        <f>IF(M14="Yes","🔴 BOTTOM",IF(M14="No","✓ Cleared",IF(Q14="MIN",IF(AND(ISNUMBER(F14),ISNUMBER(H14)),IF(H14&lt;F14*'Master Dashboard'!$B$4,"🔴 LOW",""),""),IF(Q14="MAX",IF(AND(ISNUMBER(F14),ISNUMBER(H14)),IF(H14&gt;F14,"🔴 HIGH",""),""),""))))</f>
        <v/>
      </c>
      <c r="M14" s="54" t="s">
        <v>82</v>
      </c>
      <c r="N14" s="59" t="s">
        <v>83</v>
      </c>
      <c r="O14" s="60" t="s">
        <v>84</v>
      </c>
      <c r="P14" s="61" t="s">
        <v>1034</v>
      </c>
      <c r="Q14" s="60" t="s">
        <v>114</v>
      </c>
      <c r="R14" s="60" t="s">
        <v>1039</v>
      </c>
    </row>
    <row r="15">
      <c r="A15" s="48"/>
      <c r="B15" s="49"/>
      <c r="C15" s="50" t="s">
        <v>1040</v>
      </c>
      <c r="D15" s="51" t="s">
        <v>309</v>
      </c>
      <c r="E15" s="62">
        <v>0.0</v>
      </c>
      <c r="F15" s="63">
        <v>5.0</v>
      </c>
      <c r="G15" s="56">
        <v>4.0</v>
      </c>
      <c r="H15" s="55">
        <v>4.0</v>
      </c>
      <c r="I15" s="56">
        <f t="shared" si="3"/>
        <v>0</v>
      </c>
      <c r="J15" s="57" t="str">
        <f t="shared" si="4"/>
        <v/>
      </c>
      <c r="K15" s="54" t="s">
        <v>9</v>
      </c>
      <c r="L15" s="58" t="str">
        <f>IF(M15="Yes","🔴 BOTTOM",IF(M15="No","✓ Cleared",IF(Q15="MIN",IF(AND(ISNUMBER(F15),ISNUMBER(H15)),IF(H15&lt;F15*'Master Dashboard'!$B$4,"🔴 LOW",""),""),IF(Q15="MAX",IF(AND(ISNUMBER(F15),ISNUMBER(H15)),IF(H15&gt;F15,"🔴 HIGH",""),""),""))))</f>
        <v/>
      </c>
      <c r="M15" s="54" t="s">
        <v>82</v>
      </c>
      <c r="N15" s="59" t="s">
        <v>83</v>
      </c>
      <c r="O15" s="60" t="s">
        <v>84</v>
      </c>
      <c r="P15" s="61" t="s">
        <v>1034</v>
      </c>
      <c r="Q15" s="60" t="s">
        <v>114</v>
      </c>
      <c r="R15" s="60" t="s">
        <v>1041</v>
      </c>
    </row>
    <row r="16">
      <c r="A16" s="48"/>
      <c r="B16" s="49"/>
      <c r="C16" s="50" t="s">
        <v>1042</v>
      </c>
      <c r="D16" s="51" t="s">
        <v>309</v>
      </c>
      <c r="E16" s="62">
        <v>0.0</v>
      </c>
      <c r="F16" s="63">
        <v>5.0</v>
      </c>
      <c r="G16" s="56">
        <v>11.0</v>
      </c>
      <c r="H16" s="55">
        <v>3.0</v>
      </c>
      <c r="I16" s="56">
        <f t="shared" si="3"/>
        <v>-8</v>
      </c>
      <c r="J16" s="57" t="str">
        <f t="shared" si="4"/>
        <v/>
      </c>
      <c r="K16" s="54" t="s">
        <v>9</v>
      </c>
      <c r="L16" s="58" t="str">
        <f>IF(M16="Yes","🔴 BOTTOM",IF(M16="No","✓ Cleared",IF(Q16="MIN",IF(AND(ISNUMBER(F16),ISNUMBER(H16)),IF(H16&lt;F16*'Master Dashboard'!$B$4,"🔴 LOW",""),""),IF(Q16="MAX",IF(AND(ISNUMBER(F16),ISNUMBER(H16)),IF(H16&gt;F16,"🔴 HIGH",""),""),""))))</f>
        <v/>
      </c>
      <c r="M16" s="54" t="s">
        <v>82</v>
      </c>
      <c r="N16" s="59" t="s">
        <v>83</v>
      </c>
      <c r="O16" s="60" t="s">
        <v>84</v>
      </c>
      <c r="P16" s="61"/>
      <c r="Q16" s="60" t="s">
        <v>114</v>
      </c>
      <c r="R16" s="60" t="s">
        <v>1043</v>
      </c>
    </row>
    <row r="17">
      <c r="A17" s="48"/>
      <c r="B17" s="49"/>
      <c r="C17" s="50" t="s">
        <v>1044</v>
      </c>
      <c r="D17" s="51" t="s">
        <v>309</v>
      </c>
      <c r="E17" s="62">
        <v>0.0</v>
      </c>
      <c r="F17" s="63">
        <v>5.0</v>
      </c>
      <c r="G17" s="56">
        <v>12.0</v>
      </c>
      <c r="H17" s="55">
        <v>3.0</v>
      </c>
      <c r="I17" s="56">
        <f t="shared" si="3"/>
        <v>-9</v>
      </c>
      <c r="J17" s="57" t="str">
        <f t="shared" si="4"/>
        <v/>
      </c>
      <c r="K17" s="54" t="s">
        <v>9</v>
      </c>
      <c r="L17" s="58" t="str">
        <f>IF(M17="Yes","🔴 BOTTOM",IF(M17="No","✓ Cleared",IF(Q17="MIN",IF(AND(ISNUMBER(F17),ISNUMBER(H17)),IF(H17&lt;F17*'Master Dashboard'!$B$4,"🔴 LOW",""),""),IF(Q17="MAX",IF(AND(ISNUMBER(F17),ISNUMBER(H17)),IF(H17&gt;F17,"🔴 HIGH",""),""),""))))</f>
        <v/>
      </c>
      <c r="M17" s="54" t="s">
        <v>82</v>
      </c>
      <c r="N17" s="59" t="s">
        <v>83</v>
      </c>
      <c r="O17" s="60" t="s">
        <v>84</v>
      </c>
      <c r="P17" s="61"/>
      <c r="Q17" s="60" t="s">
        <v>114</v>
      </c>
      <c r="R17" s="60" t="s">
        <v>1045</v>
      </c>
    </row>
    <row r="18">
      <c r="A18" s="48"/>
      <c r="B18" s="49"/>
      <c r="C18" s="50" t="s">
        <v>1046</v>
      </c>
      <c r="D18" s="51" t="s">
        <v>309</v>
      </c>
      <c r="E18" s="62">
        <v>0.0</v>
      </c>
      <c r="F18" s="63">
        <v>5.0</v>
      </c>
      <c r="G18" s="56">
        <v>7.0</v>
      </c>
      <c r="H18" s="55">
        <v>1.0</v>
      </c>
      <c r="I18" s="56">
        <f t="shared" si="3"/>
        <v>-6</v>
      </c>
      <c r="J18" s="57" t="str">
        <f t="shared" si="4"/>
        <v/>
      </c>
      <c r="K18" s="54" t="s">
        <v>9</v>
      </c>
      <c r="L18" s="58" t="str">
        <f>IF(M18="Yes","🔴 BOTTOM",IF(M18="No","✓ Cleared",IF(Q18="MIN",IF(AND(ISNUMBER(F18),ISNUMBER(H18)),IF(H18&lt;F18*'Master Dashboard'!$B$4,"🔴 LOW",""),""),IF(Q18="MAX",IF(AND(ISNUMBER(F18),ISNUMBER(H18)),IF(H18&gt;F18,"🔴 HIGH",""),""),""))))</f>
        <v/>
      </c>
      <c r="M18" s="54" t="s">
        <v>82</v>
      </c>
      <c r="N18" s="59" t="s">
        <v>83</v>
      </c>
      <c r="O18" s="60" t="s">
        <v>84</v>
      </c>
      <c r="P18" s="61"/>
      <c r="Q18" s="60" t="s">
        <v>114</v>
      </c>
      <c r="R18" s="60" t="s">
        <v>1047</v>
      </c>
    </row>
    <row r="19" ht="19.5" customHeight="1">
      <c r="A19" s="67" t="s">
        <v>360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</row>
    <row r="20">
      <c r="A20" s="35">
        <v>3.0</v>
      </c>
      <c r="B20" s="36" t="s">
        <v>1048</v>
      </c>
      <c r="C20" s="50" t="s">
        <v>1049</v>
      </c>
      <c r="D20" s="51" t="s">
        <v>902</v>
      </c>
      <c r="E20" s="62">
        <v>0.0</v>
      </c>
      <c r="F20" s="63">
        <v>0.0</v>
      </c>
      <c r="G20" s="54"/>
      <c r="H20" s="55">
        <v>28.0</v>
      </c>
      <c r="I20" s="56" t="str">
        <f t="shared" ref="I20:I23" si="5">IF(AND(ISNUMBER(G20),ISNUMBER(H20)),H20-G20,"")</f>
        <v/>
      </c>
      <c r="J20" s="57" t="str">
        <f t="shared" ref="J20:J23" si="6">IF(AND(ISNUMBER(E20),E20&gt;0,ISNUMBER(H20)),H20/E20,"")</f>
        <v/>
      </c>
      <c r="K20" s="54" t="s">
        <v>10</v>
      </c>
      <c r="L20" s="58" t="str">
        <f>IF(M20="Yes","🔴 BOTTOM",IF(M20="No","✓ Cleared",IF(Q20="MIN",IF(AND(ISNUMBER(F20),ISNUMBER(H20)),IF(H20&lt;F20*'Master Dashboard'!$B$4,"🔴 LOW",""),""),IF(Q20="MAX",IF(AND(ISNUMBER(F20),ISNUMBER(H20)),IF(H20&gt;F20,"🔴 HIGH",""),""),""))))</f>
        <v>🔴 HIGH</v>
      </c>
      <c r="M20" s="54" t="s">
        <v>82</v>
      </c>
      <c r="N20" s="59" t="s">
        <v>83</v>
      </c>
      <c r="O20" s="60" t="s">
        <v>84</v>
      </c>
      <c r="P20" s="61" t="s">
        <v>1050</v>
      </c>
      <c r="Q20" s="60" t="s">
        <v>114</v>
      </c>
      <c r="R20" s="60" t="s">
        <v>1051</v>
      </c>
    </row>
    <row r="21" ht="15.75" customHeight="1">
      <c r="A21" s="35">
        <v>4.0</v>
      </c>
      <c r="B21" s="36" t="s">
        <v>1052</v>
      </c>
      <c r="C21" s="50" t="s">
        <v>1053</v>
      </c>
      <c r="D21" s="51" t="s">
        <v>371</v>
      </c>
      <c r="E21" s="52"/>
      <c r="F21" s="53"/>
      <c r="G21" s="54"/>
      <c r="H21" s="71"/>
      <c r="I21" s="56" t="str">
        <f t="shared" si="5"/>
        <v/>
      </c>
      <c r="J21" s="57" t="str">
        <f t="shared" si="6"/>
        <v/>
      </c>
      <c r="K21" s="54" t="s">
        <v>9</v>
      </c>
      <c r="L21" s="58" t="str">
        <f>IF(M21="Yes","🔴 BOTTOM",IF(M21="No","✓ Cleared",IF(Q21="MIN",IF(AND(ISNUMBER(F21),ISNUMBER(H21)),IF(H21&lt;F21*'Master Dashboard'!$B$4,"🔴 LOW",""),""),IF(Q21="MAX",IF(AND(ISNUMBER(F21),ISNUMBER(H21)),IF(H21&gt;F21,"🔴 HIGH",""),""),""))))</f>
        <v/>
      </c>
      <c r="M21" s="54" t="s">
        <v>82</v>
      </c>
      <c r="N21" s="59"/>
      <c r="O21" s="60"/>
      <c r="P21" s="61" t="s">
        <v>1054</v>
      </c>
      <c r="Q21" s="60"/>
      <c r="R21" s="60" t="s">
        <v>1055</v>
      </c>
    </row>
    <row r="22" ht="15.75" customHeight="1">
      <c r="A22" s="35">
        <v>5.0</v>
      </c>
      <c r="B22" s="36" t="s">
        <v>1056</v>
      </c>
      <c r="C22" s="50" t="s">
        <v>1057</v>
      </c>
      <c r="D22" s="51" t="s">
        <v>367</v>
      </c>
      <c r="E22" s="52"/>
      <c r="F22" s="53"/>
      <c r="G22" s="54"/>
      <c r="H22" s="71"/>
      <c r="I22" s="56" t="str">
        <f t="shared" si="5"/>
        <v/>
      </c>
      <c r="J22" s="57" t="str">
        <f t="shared" si="6"/>
        <v/>
      </c>
      <c r="K22" s="54" t="s">
        <v>9</v>
      </c>
      <c r="L22" s="58" t="str">
        <f>IF(M22="Yes","🔴 BOTTOM",IF(M22="No","✓ Cleared",IF(Q22="MIN",IF(AND(ISNUMBER(F22),ISNUMBER(H22)),IF(H22&lt;F22*'Master Dashboard'!$B$4,"🔴 LOW",""),""),IF(Q22="MAX",IF(AND(ISNUMBER(F22),ISNUMBER(H22)),IF(H22&gt;F22,"🔴 HIGH",""),""),""))))</f>
        <v/>
      </c>
      <c r="M22" s="54" t="s">
        <v>82</v>
      </c>
      <c r="N22" s="59"/>
      <c r="O22" s="60"/>
      <c r="P22" s="61" t="s">
        <v>403</v>
      </c>
      <c r="Q22" s="60"/>
      <c r="R22" s="60" t="s">
        <v>1058</v>
      </c>
    </row>
    <row r="23" ht="15.75" customHeight="1">
      <c r="A23" s="35">
        <v>6.0</v>
      </c>
      <c r="B23" s="36" t="s">
        <v>1059</v>
      </c>
      <c r="C23" s="50" t="s">
        <v>1060</v>
      </c>
      <c r="D23" s="51" t="s">
        <v>371</v>
      </c>
      <c r="E23" s="62">
        <v>0.0</v>
      </c>
      <c r="F23" s="63">
        <v>0.0</v>
      </c>
      <c r="G23" s="54"/>
      <c r="H23" s="71"/>
      <c r="I23" s="56" t="str">
        <f t="shared" si="5"/>
        <v/>
      </c>
      <c r="J23" s="57" t="str">
        <f t="shared" si="6"/>
        <v/>
      </c>
      <c r="K23" s="54" t="s">
        <v>9</v>
      </c>
      <c r="L23" s="58" t="str">
        <f>IF(M23="Yes","🔴 BOTTOM",IF(M23="No","✓ Cleared",IF(Q23="MIN",IF(AND(ISNUMBER(F23),ISNUMBER(H23)),IF(H23&lt;F23*'Master Dashboard'!$B$4,"🔴 LOW",""),""),IF(Q23="MAX",IF(AND(ISNUMBER(F23),ISNUMBER(H23)),IF(H23&gt;F23,"🔴 HIGH",""),""),""))))</f>
        <v/>
      </c>
      <c r="M23" s="54" t="s">
        <v>82</v>
      </c>
      <c r="N23" s="59"/>
      <c r="O23" s="60"/>
      <c r="P23" s="61" t="s">
        <v>1061</v>
      </c>
      <c r="Q23" s="60" t="s">
        <v>114</v>
      </c>
      <c r="R23" s="60" t="s">
        <v>1062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23"/>
  <mergeCells count="3">
    <mergeCell ref="A1:P1"/>
    <mergeCell ref="A3:P3"/>
    <mergeCell ref="A19:P19"/>
  </mergeCells>
  <conditionalFormatting sqref="K3:K23">
    <cfRule type="cellIs" dxfId="0" priority="1" operator="equal">
      <formula>"Completed"</formula>
    </cfRule>
  </conditionalFormatting>
  <conditionalFormatting sqref="K3:K23">
    <cfRule type="cellIs" dxfId="1" priority="2" operator="equal">
      <formula>"On Track"</formula>
    </cfRule>
  </conditionalFormatting>
  <conditionalFormatting sqref="K3:K23">
    <cfRule type="cellIs" dxfId="2" priority="3" operator="equal">
      <formula>"In Progress"</formula>
    </cfRule>
  </conditionalFormatting>
  <conditionalFormatting sqref="K3:K23">
    <cfRule type="cellIs" dxfId="3" priority="4" operator="equal">
      <formula>"Pending/Blocked"</formula>
    </cfRule>
  </conditionalFormatting>
  <conditionalFormatting sqref="K3:K23">
    <cfRule type="cellIs" dxfId="4" priority="5" operator="equal">
      <formula>"Not Started"</formula>
    </cfRule>
  </conditionalFormatting>
  <conditionalFormatting sqref="L3:L23">
    <cfRule type="expression" dxfId="5" priority="6">
      <formula>ISNUMBER(SEARCH("BOTTOM",L3))</formula>
    </cfRule>
  </conditionalFormatting>
  <conditionalFormatting sqref="L3:L23">
    <cfRule type="expression" dxfId="6" priority="7">
      <formula>OR(ISNUMBER(SEARCH("LOW",L3)),ISNUMBER(SEARCH("HIGH",L3)))</formula>
    </cfRule>
  </conditionalFormatting>
  <conditionalFormatting sqref="L3:L23">
    <cfRule type="expression" dxfId="0" priority="8">
      <formula>ISNUMBER(SEARCH("Cleared",L3))</formula>
    </cfRule>
  </conditionalFormatting>
  <dataValidations>
    <dataValidation type="list" allowBlank="1" sqref="K4:K18 K20:K23">
      <formula1>"Not Started,In Progress,Pending/Blocked,On Track,Completed"</formula1>
    </dataValidation>
    <dataValidation type="list" allowBlank="1" sqref="M4:M18 M20:M23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1063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1064</v>
      </c>
      <c r="C4" s="50" t="s">
        <v>760</v>
      </c>
      <c r="D4" s="51" t="s">
        <v>761</v>
      </c>
      <c r="E4" s="62">
        <v>0.0</v>
      </c>
      <c r="F4" s="63">
        <v>0.0</v>
      </c>
      <c r="G4" s="54"/>
      <c r="H4" s="55">
        <v>5.0</v>
      </c>
      <c r="I4" s="56" t="str">
        <f t="shared" ref="I4:I6" si="1">IF(AND(ISNUMBER(G4),ISNUMBER(H4)),H4-G4,"")</f>
        <v/>
      </c>
      <c r="J4" s="57" t="str">
        <f t="shared" ref="J4:J6" si="2">IF(AND(ISNUMBER(E4),E4&gt;0,ISNUMBER(H4)),H4/E4,"")</f>
        <v/>
      </c>
      <c r="K4" s="54" t="s">
        <v>10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>🔴 HIGH</v>
      </c>
      <c r="M4" s="54" t="s">
        <v>82</v>
      </c>
      <c r="N4" s="59" t="s">
        <v>83</v>
      </c>
      <c r="O4" s="60" t="s">
        <v>84</v>
      </c>
      <c r="P4" s="61" t="s">
        <v>1065</v>
      </c>
      <c r="Q4" s="60" t="s">
        <v>114</v>
      </c>
      <c r="R4" s="60" t="s">
        <v>1066</v>
      </c>
    </row>
    <row r="5">
      <c r="A5" s="48"/>
      <c r="B5" s="49"/>
      <c r="C5" s="50" t="s">
        <v>1067</v>
      </c>
      <c r="D5" s="51" t="s">
        <v>380</v>
      </c>
      <c r="E5" s="52"/>
      <c r="F5" s="53"/>
      <c r="G5" s="54"/>
      <c r="H5" s="71"/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 t="s">
        <v>1068</v>
      </c>
      <c r="Q5" s="60"/>
      <c r="R5" s="60" t="s">
        <v>1069</v>
      </c>
    </row>
    <row r="6">
      <c r="A6" s="48"/>
      <c r="B6" s="49"/>
      <c r="C6" s="50" t="s">
        <v>1070</v>
      </c>
      <c r="D6" s="51" t="s">
        <v>380</v>
      </c>
      <c r="E6" s="52"/>
      <c r="F6" s="53"/>
      <c r="G6" s="54"/>
      <c r="H6" s="71"/>
      <c r="I6" s="56" t="str">
        <f t="shared" si="1"/>
        <v/>
      </c>
      <c r="J6" s="57" t="str">
        <f t="shared" si="2"/>
        <v/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 t="s">
        <v>1071</v>
      </c>
      <c r="Q6" s="60"/>
      <c r="R6" s="60" t="s">
        <v>1072</v>
      </c>
    </row>
    <row r="7">
      <c r="A7" s="35">
        <v>2.0</v>
      </c>
      <c r="B7" s="36" t="s">
        <v>1073</v>
      </c>
      <c r="C7" s="37" t="s">
        <v>746</v>
      </c>
      <c r="D7" s="38"/>
      <c r="E7" s="39"/>
      <c r="F7" s="40"/>
      <c r="G7" s="41"/>
      <c r="H7" s="42">
        <v>2.0</v>
      </c>
      <c r="I7" s="43"/>
      <c r="J7" s="43"/>
      <c r="K7" s="43"/>
      <c r="L7" s="43"/>
      <c r="M7" s="43"/>
      <c r="N7" s="43"/>
      <c r="O7" s="43"/>
      <c r="P7" s="44" t="s">
        <v>1074</v>
      </c>
      <c r="Q7" s="45"/>
      <c r="R7" s="45"/>
    </row>
    <row r="8">
      <c r="A8" s="48"/>
      <c r="B8" s="49"/>
      <c r="C8" s="50" t="s">
        <v>1075</v>
      </c>
      <c r="D8" s="51" t="s">
        <v>449</v>
      </c>
      <c r="E8" s="62">
        <v>18.0</v>
      </c>
      <c r="F8" s="63">
        <v>18.0</v>
      </c>
      <c r="G8" s="54"/>
      <c r="H8" s="55">
        <v>2.0</v>
      </c>
      <c r="I8" s="56" t="str">
        <f t="shared" ref="I8:I10" si="3">IF(AND(ISNUMBER(G8),ISNUMBER(H8)),H8-G8,"")</f>
        <v/>
      </c>
      <c r="J8" s="57">
        <f t="shared" ref="J8:J10" si="4">IF(AND(ISNUMBER(E8),E8&gt;0,ISNUMBER(H8)),H8/E8,"")</f>
        <v>0.1111111111</v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>🔴 LOW</v>
      </c>
      <c r="M8" s="54" t="s">
        <v>82</v>
      </c>
      <c r="N8" s="59" t="s">
        <v>83</v>
      </c>
      <c r="O8" s="60" t="s">
        <v>84</v>
      </c>
      <c r="P8" s="61" t="s">
        <v>1076</v>
      </c>
      <c r="Q8" s="60" t="s">
        <v>110</v>
      </c>
      <c r="R8" s="60" t="s">
        <v>1077</v>
      </c>
    </row>
    <row r="9">
      <c r="A9" s="35">
        <v>3.0</v>
      </c>
      <c r="B9" s="36" t="s">
        <v>1078</v>
      </c>
      <c r="C9" s="50" t="s">
        <v>1079</v>
      </c>
      <c r="D9" s="51" t="s">
        <v>380</v>
      </c>
      <c r="E9" s="52"/>
      <c r="F9" s="53"/>
      <c r="G9" s="54"/>
      <c r="H9" s="71"/>
      <c r="I9" s="56" t="str">
        <f t="shared" si="3"/>
        <v/>
      </c>
      <c r="J9" s="57" t="str">
        <f t="shared" si="4"/>
        <v/>
      </c>
      <c r="K9" s="54" t="s">
        <v>10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/>
      <c r="O9" s="60"/>
      <c r="P9" s="61"/>
      <c r="Q9" s="60"/>
      <c r="R9" s="60" t="s">
        <v>1080</v>
      </c>
    </row>
    <row r="10">
      <c r="A10" s="35">
        <v>4.0</v>
      </c>
      <c r="B10" s="36" t="s">
        <v>1081</v>
      </c>
      <c r="C10" s="50" t="s">
        <v>1082</v>
      </c>
      <c r="D10" s="51" t="s">
        <v>380</v>
      </c>
      <c r="E10" s="52"/>
      <c r="F10" s="53"/>
      <c r="G10" s="54"/>
      <c r="H10" s="71"/>
      <c r="I10" s="56" t="str">
        <f t="shared" si="3"/>
        <v/>
      </c>
      <c r="J10" s="57" t="str">
        <f t="shared" si="4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/>
      <c r="O10" s="60"/>
      <c r="P10" s="61" t="s">
        <v>1083</v>
      </c>
      <c r="Q10" s="60"/>
      <c r="R10" s="60" t="s">
        <v>1084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0"/>
  <mergeCells count="2">
    <mergeCell ref="A1:P1"/>
    <mergeCell ref="A3:P3"/>
  </mergeCells>
  <conditionalFormatting sqref="K3:K10">
    <cfRule type="cellIs" dxfId="0" priority="1" operator="equal">
      <formula>"Completed"</formula>
    </cfRule>
  </conditionalFormatting>
  <conditionalFormatting sqref="K3:K10">
    <cfRule type="cellIs" dxfId="1" priority="2" operator="equal">
      <formula>"On Track"</formula>
    </cfRule>
  </conditionalFormatting>
  <conditionalFormatting sqref="K3:K10">
    <cfRule type="cellIs" dxfId="2" priority="3" operator="equal">
      <formula>"In Progress"</formula>
    </cfRule>
  </conditionalFormatting>
  <conditionalFormatting sqref="K3:K10">
    <cfRule type="cellIs" dxfId="3" priority="4" operator="equal">
      <formula>"Pending/Blocked"</formula>
    </cfRule>
  </conditionalFormatting>
  <conditionalFormatting sqref="K3:K10">
    <cfRule type="cellIs" dxfId="4" priority="5" operator="equal">
      <formula>"Not Started"</formula>
    </cfRule>
  </conditionalFormatting>
  <conditionalFormatting sqref="L3:L10">
    <cfRule type="expression" dxfId="5" priority="6">
      <formula>ISNUMBER(SEARCH("BOTTOM",L3))</formula>
    </cfRule>
  </conditionalFormatting>
  <conditionalFormatting sqref="L3:L10">
    <cfRule type="expression" dxfId="6" priority="7">
      <formula>OR(ISNUMBER(SEARCH("LOW",L3)),ISNUMBER(SEARCH("HIGH",L3)))</formula>
    </cfRule>
  </conditionalFormatting>
  <conditionalFormatting sqref="L3:L10">
    <cfRule type="expression" dxfId="0" priority="8">
      <formula>ISNUMBER(SEARCH("Cleared",L3))</formula>
    </cfRule>
  </conditionalFormatting>
  <dataValidations>
    <dataValidation type="list" allowBlank="1" sqref="K4:K10">
      <formula1>"Not Started,In Progress,Pending/Blocked,On Track,Completed"</formula1>
    </dataValidation>
    <dataValidation type="list" allowBlank="1" sqref="M4:M10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1085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1086</v>
      </c>
      <c r="C4" s="50" t="s">
        <v>1087</v>
      </c>
      <c r="D4" s="51" t="s">
        <v>376</v>
      </c>
      <c r="E4" s="52"/>
      <c r="F4" s="53"/>
      <c r="G4" s="54"/>
      <c r="H4" s="71" t="s">
        <v>1088</v>
      </c>
      <c r="I4" s="56" t="str">
        <f t="shared" ref="I4:I9" si="1">IF(AND(ISNUMBER(G4),ISNUMBER(H4)),H4-G4,"")</f>
        <v/>
      </c>
      <c r="J4" s="57" t="str">
        <f t="shared" ref="J4:J9" si="2">IF(AND(ISNUMBER(E4),E4&gt;0,ISNUMBER(H4)),H4/E4,"")</f>
        <v/>
      </c>
      <c r="K4" s="54" t="s">
        <v>10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 t="s">
        <v>83</v>
      </c>
      <c r="O4" s="60" t="s">
        <v>84</v>
      </c>
      <c r="P4" s="61" t="s">
        <v>1089</v>
      </c>
      <c r="Q4" s="60"/>
      <c r="R4" s="60" t="s">
        <v>1090</v>
      </c>
    </row>
    <row r="5">
      <c r="A5" s="35">
        <v>2.0</v>
      </c>
      <c r="B5" s="36" t="s">
        <v>1091</v>
      </c>
      <c r="C5" s="50" t="s">
        <v>1087</v>
      </c>
      <c r="D5" s="51" t="s">
        <v>376</v>
      </c>
      <c r="E5" s="52"/>
      <c r="F5" s="53"/>
      <c r="G5" s="54"/>
      <c r="H5" s="71" t="s">
        <v>1088</v>
      </c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 t="s">
        <v>83</v>
      </c>
      <c r="O5" s="60" t="s">
        <v>84</v>
      </c>
      <c r="P5" s="61" t="s">
        <v>1092</v>
      </c>
      <c r="Q5" s="60"/>
      <c r="R5" s="60" t="s">
        <v>1093</v>
      </c>
    </row>
    <row r="6">
      <c r="A6" s="35">
        <v>3.0</v>
      </c>
      <c r="B6" s="36" t="s">
        <v>1094</v>
      </c>
      <c r="C6" s="50" t="s">
        <v>1095</v>
      </c>
      <c r="D6" s="51" t="s">
        <v>380</v>
      </c>
      <c r="E6" s="52"/>
      <c r="F6" s="53"/>
      <c r="G6" s="54"/>
      <c r="H6" s="71"/>
      <c r="I6" s="56" t="str">
        <f t="shared" si="1"/>
        <v/>
      </c>
      <c r="J6" s="57" t="str">
        <f t="shared" si="2"/>
        <v/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/>
      <c r="Q6" s="60"/>
      <c r="R6" s="60" t="s">
        <v>1096</v>
      </c>
    </row>
    <row r="7">
      <c r="A7" s="35">
        <v>4.0</v>
      </c>
      <c r="B7" s="36" t="s">
        <v>1097</v>
      </c>
      <c r="C7" s="50" t="s">
        <v>1098</v>
      </c>
      <c r="D7" s="51" t="s">
        <v>449</v>
      </c>
      <c r="E7" s="62">
        <v>9.0</v>
      </c>
      <c r="F7" s="63">
        <v>9.0</v>
      </c>
      <c r="G7" s="54"/>
      <c r="H7" s="55">
        <v>1.0</v>
      </c>
      <c r="I7" s="56" t="str">
        <f t="shared" si="1"/>
        <v/>
      </c>
      <c r="J7" s="57">
        <f t="shared" si="2"/>
        <v>0.1111111111</v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>🔴 LOW</v>
      </c>
      <c r="M7" s="54" t="s">
        <v>82</v>
      </c>
      <c r="N7" s="59" t="s">
        <v>83</v>
      </c>
      <c r="O7" s="60" t="s">
        <v>84</v>
      </c>
      <c r="P7" s="61" t="s">
        <v>1099</v>
      </c>
      <c r="Q7" s="60" t="s">
        <v>110</v>
      </c>
      <c r="R7" s="60" t="s">
        <v>1100</v>
      </c>
    </row>
    <row r="8">
      <c r="A8" s="48"/>
      <c r="B8" s="49"/>
      <c r="C8" s="50" t="s">
        <v>1101</v>
      </c>
      <c r="D8" s="51" t="s">
        <v>380</v>
      </c>
      <c r="E8" s="52"/>
      <c r="F8" s="53"/>
      <c r="G8" s="54"/>
      <c r="H8" s="71"/>
      <c r="I8" s="56" t="str">
        <f t="shared" si="1"/>
        <v/>
      </c>
      <c r="J8" s="57" t="str">
        <f t="shared" si="2"/>
        <v/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1102</v>
      </c>
      <c r="Q8" s="60"/>
      <c r="R8" s="60" t="s">
        <v>1103</v>
      </c>
    </row>
    <row r="9">
      <c r="A9" s="48"/>
      <c r="B9" s="49"/>
      <c r="C9" s="50" t="s">
        <v>1104</v>
      </c>
      <c r="D9" s="51" t="s">
        <v>380</v>
      </c>
      <c r="E9" s="52"/>
      <c r="F9" s="53"/>
      <c r="G9" s="54"/>
      <c r="H9" s="71"/>
      <c r="I9" s="56" t="str">
        <f t="shared" si="1"/>
        <v/>
      </c>
      <c r="J9" s="57" t="str">
        <f t="shared" si="2"/>
        <v/>
      </c>
      <c r="K9" s="54" t="s">
        <v>10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/>
      <c r="O9" s="60"/>
      <c r="P9" s="61" t="s">
        <v>1105</v>
      </c>
      <c r="Q9" s="60"/>
      <c r="R9" s="60" t="s">
        <v>1106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9"/>
  <mergeCells count="2">
    <mergeCell ref="A1:P1"/>
    <mergeCell ref="A3:P3"/>
  </mergeCells>
  <conditionalFormatting sqref="K3:K9">
    <cfRule type="cellIs" dxfId="0" priority="1" operator="equal">
      <formula>"Completed"</formula>
    </cfRule>
  </conditionalFormatting>
  <conditionalFormatting sqref="K3:K9">
    <cfRule type="cellIs" dxfId="1" priority="2" operator="equal">
      <formula>"On Track"</formula>
    </cfRule>
  </conditionalFormatting>
  <conditionalFormatting sqref="K3:K9">
    <cfRule type="cellIs" dxfId="2" priority="3" operator="equal">
      <formula>"In Progress"</formula>
    </cfRule>
  </conditionalFormatting>
  <conditionalFormatting sqref="K3:K9">
    <cfRule type="cellIs" dxfId="3" priority="4" operator="equal">
      <formula>"Pending/Blocked"</formula>
    </cfRule>
  </conditionalFormatting>
  <conditionalFormatting sqref="K3:K9">
    <cfRule type="cellIs" dxfId="4" priority="5" operator="equal">
      <formula>"Not Started"</formula>
    </cfRule>
  </conditionalFormatting>
  <conditionalFormatting sqref="L3:L9">
    <cfRule type="expression" dxfId="5" priority="6">
      <formula>ISNUMBER(SEARCH("BOTTOM",L3))</formula>
    </cfRule>
  </conditionalFormatting>
  <conditionalFormatting sqref="L3:L9">
    <cfRule type="expression" dxfId="6" priority="7">
      <formula>OR(ISNUMBER(SEARCH("LOW",L3)),ISNUMBER(SEARCH("HIGH",L3)))</formula>
    </cfRule>
  </conditionalFormatting>
  <conditionalFormatting sqref="L3:L9">
    <cfRule type="expression" dxfId="0" priority="8">
      <formula>ISNUMBER(SEARCH("Cleared",L3))</formula>
    </cfRule>
  </conditionalFormatting>
  <dataValidations>
    <dataValidation type="list" allowBlank="1" sqref="K4:K9">
      <formula1>"Not Started,In Progress,Pending/Blocked,On Track,Completed"</formula1>
    </dataValidation>
    <dataValidation type="list" allowBlank="1" sqref="M4:M9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1108</v>
      </c>
      <c r="C4" s="50" t="s">
        <v>1109</v>
      </c>
      <c r="D4" s="51" t="s">
        <v>1110</v>
      </c>
      <c r="E4" s="52"/>
      <c r="F4" s="53"/>
      <c r="G4" s="54"/>
      <c r="H4" s="55">
        <v>12.74</v>
      </c>
      <c r="I4" s="56" t="str">
        <f t="shared" ref="I4:I9" si="1">IF(AND(ISNUMBER(G4),ISNUMBER(H4)),H4-G4,"")</f>
        <v/>
      </c>
      <c r="J4" s="57" t="str">
        <f t="shared" ref="J4:J9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 t="s">
        <v>83</v>
      </c>
      <c r="O4" s="60" t="s">
        <v>84</v>
      </c>
      <c r="P4" s="61" t="s">
        <v>1111</v>
      </c>
      <c r="Q4" s="60"/>
      <c r="R4" s="60" t="s">
        <v>1112</v>
      </c>
    </row>
    <row r="5">
      <c r="A5" s="48"/>
      <c r="B5" s="49"/>
      <c r="C5" s="50" t="s">
        <v>1113</v>
      </c>
      <c r="D5" s="51" t="s">
        <v>380</v>
      </c>
      <c r="E5" s="52"/>
      <c r="F5" s="53"/>
      <c r="G5" s="54"/>
      <c r="H5" s="71"/>
      <c r="I5" s="56" t="str">
        <f t="shared" si="1"/>
        <v/>
      </c>
      <c r="J5" s="57" t="str">
        <f t="shared" si="2"/>
        <v/>
      </c>
      <c r="K5" s="54" t="s">
        <v>9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 t="s">
        <v>1114</v>
      </c>
      <c r="Q5" s="60"/>
      <c r="R5" s="60" t="s">
        <v>1115</v>
      </c>
    </row>
    <row r="6">
      <c r="A6" s="35">
        <v>2.0</v>
      </c>
      <c r="B6" s="36" t="s">
        <v>1116</v>
      </c>
      <c r="C6" s="50" t="s">
        <v>1117</v>
      </c>
      <c r="D6" s="51" t="s">
        <v>902</v>
      </c>
      <c r="E6" s="52"/>
      <c r="F6" s="53"/>
      <c r="G6" s="54"/>
      <c r="H6" s="55">
        <v>10.0</v>
      </c>
      <c r="I6" s="56" t="str">
        <f t="shared" si="1"/>
        <v/>
      </c>
      <c r="J6" s="57" t="str">
        <f t="shared" si="2"/>
        <v/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 t="s">
        <v>83</v>
      </c>
      <c r="O6" s="60" t="s">
        <v>84</v>
      </c>
      <c r="P6" s="61" t="s">
        <v>1118</v>
      </c>
      <c r="Q6" s="60"/>
      <c r="R6" s="60" t="s">
        <v>1119</v>
      </c>
    </row>
    <row r="7">
      <c r="A7" s="35">
        <v>3.0</v>
      </c>
      <c r="B7" s="36" t="s">
        <v>1120</v>
      </c>
      <c r="C7" s="50" t="s">
        <v>1121</v>
      </c>
      <c r="D7" s="51" t="s">
        <v>380</v>
      </c>
      <c r="E7" s="52"/>
      <c r="F7" s="53"/>
      <c r="G7" s="54"/>
      <c r="H7" s="71"/>
      <c r="I7" s="56" t="str">
        <f t="shared" si="1"/>
        <v/>
      </c>
      <c r="J7" s="57" t="str">
        <f t="shared" si="2"/>
        <v/>
      </c>
      <c r="K7" s="54" t="s">
        <v>10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/>
      </c>
      <c r="M7" s="54" t="s">
        <v>82</v>
      </c>
      <c r="N7" s="59"/>
      <c r="O7" s="60"/>
      <c r="P7" s="61" t="s">
        <v>1122</v>
      </c>
      <c r="Q7" s="60"/>
      <c r="R7" s="60" t="s">
        <v>1123</v>
      </c>
    </row>
    <row r="8">
      <c r="A8" s="35">
        <v>4.0</v>
      </c>
      <c r="B8" s="36" t="s">
        <v>1124</v>
      </c>
      <c r="C8" s="50" t="s">
        <v>1125</v>
      </c>
      <c r="D8" s="51" t="s">
        <v>902</v>
      </c>
      <c r="E8" s="52"/>
      <c r="F8" s="53"/>
      <c r="G8" s="54"/>
      <c r="H8" s="55">
        <v>1.25</v>
      </c>
      <c r="I8" s="56" t="str">
        <f t="shared" si="1"/>
        <v/>
      </c>
      <c r="J8" s="57" t="str">
        <f t="shared" si="2"/>
        <v/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 t="s">
        <v>83</v>
      </c>
      <c r="O8" s="60" t="s">
        <v>84</v>
      </c>
      <c r="P8" s="61" t="s">
        <v>1126</v>
      </c>
      <c r="Q8" s="60"/>
      <c r="R8" s="60" t="s">
        <v>1127</v>
      </c>
    </row>
    <row r="9">
      <c r="A9" s="48"/>
      <c r="B9" s="49"/>
      <c r="C9" s="50" t="s">
        <v>1128</v>
      </c>
      <c r="D9" s="51" t="s">
        <v>449</v>
      </c>
      <c r="E9" s="62">
        <v>17.0</v>
      </c>
      <c r="F9" s="63">
        <v>17.0</v>
      </c>
      <c r="G9" s="54"/>
      <c r="H9" s="55">
        <v>10.0</v>
      </c>
      <c r="I9" s="56" t="str">
        <f t="shared" si="1"/>
        <v/>
      </c>
      <c r="J9" s="57">
        <f t="shared" si="2"/>
        <v>0.5882352941</v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>🔴 LOW</v>
      </c>
      <c r="M9" s="54" t="s">
        <v>82</v>
      </c>
      <c r="N9" s="59" t="s">
        <v>83</v>
      </c>
      <c r="O9" s="60" t="s">
        <v>84</v>
      </c>
      <c r="P9" s="61" t="s">
        <v>1129</v>
      </c>
      <c r="Q9" s="60" t="s">
        <v>110</v>
      </c>
      <c r="R9" s="60" t="s">
        <v>1130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9"/>
  <mergeCells count="2">
    <mergeCell ref="A1:P1"/>
    <mergeCell ref="A3:P3"/>
  </mergeCells>
  <conditionalFormatting sqref="K3:K9">
    <cfRule type="cellIs" dxfId="0" priority="1" operator="equal">
      <formula>"Completed"</formula>
    </cfRule>
  </conditionalFormatting>
  <conditionalFormatting sqref="K3:K9">
    <cfRule type="cellIs" dxfId="1" priority="2" operator="equal">
      <formula>"On Track"</formula>
    </cfRule>
  </conditionalFormatting>
  <conditionalFormatting sqref="K3:K9">
    <cfRule type="cellIs" dxfId="2" priority="3" operator="equal">
      <formula>"In Progress"</formula>
    </cfRule>
  </conditionalFormatting>
  <conditionalFormatting sqref="K3:K9">
    <cfRule type="cellIs" dxfId="3" priority="4" operator="equal">
      <formula>"Pending/Blocked"</formula>
    </cfRule>
  </conditionalFormatting>
  <conditionalFormatting sqref="K3:K9">
    <cfRule type="cellIs" dxfId="4" priority="5" operator="equal">
      <formula>"Not Started"</formula>
    </cfRule>
  </conditionalFormatting>
  <conditionalFormatting sqref="L3:L9">
    <cfRule type="expression" dxfId="5" priority="6">
      <formula>ISNUMBER(SEARCH("BOTTOM",L3))</formula>
    </cfRule>
  </conditionalFormatting>
  <conditionalFormatting sqref="L3:L9">
    <cfRule type="expression" dxfId="6" priority="7">
      <formula>OR(ISNUMBER(SEARCH("LOW",L3)),ISNUMBER(SEARCH("HIGH",L3)))</formula>
    </cfRule>
  </conditionalFormatting>
  <conditionalFormatting sqref="L3:L9">
    <cfRule type="expression" dxfId="0" priority="8">
      <formula>ISNUMBER(SEARCH("Cleared",L3))</formula>
    </cfRule>
  </conditionalFormatting>
  <dataValidations>
    <dataValidation type="list" allowBlank="1" sqref="K4:K9">
      <formula1>"Not Started,In Progress,Pending/Blocked,On Track,Completed"</formula1>
    </dataValidation>
    <dataValidation type="list" allowBlank="1" sqref="M4:M9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1132</v>
      </c>
      <c r="C4" s="50" t="s">
        <v>1133</v>
      </c>
      <c r="D4" s="51" t="s">
        <v>380</v>
      </c>
      <c r="E4" s="52"/>
      <c r="F4" s="53"/>
      <c r="G4" s="54"/>
      <c r="H4" s="71"/>
      <c r="I4" s="56" t="str">
        <f t="shared" ref="I4:I12" si="1">IF(AND(ISNUMBER(G4),ISNUMBER(H4)),H4-G4,"")</f>
        <v/>
      </c>
      <c r="J4" s="57" t="str">
        <f t="shared" ref="J4:J12" si="2">IF(AND(ISNUMBER(E4),E4&gt;0,ISNUMBER(H4)),H4/E4,"")</f>
        <v/>
      </c>
      <c r="K4" s="54" t="s">
        <v>10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/>
      <c r="O4" s="60"/>
      <c r="P4" s="61" t="s">
        <v>1134</v>
      </c>
      <c r="Q4" s="60"/>
      <c r="R4" s="60" t="s">
        <v>1135</v>
      </c>
    </row>
    <row r="5">
      <c r="A5" s="35">
        <v>2.0</v>
      </c>
      <c r="B5" s="36" t="s">
        <v>1136</v>
      </c>
      <c r="C5" s="50" t="s">
        <v>1137</v>
      </c>
      <c r="D5" s="51" t="s">
        <v>380</v>
      </c>
      <c r="E5" s="52"/>
      <c r="F5" s="53"/>
      <c r="G5" s="54"/>
      <c r="H5" s="71"/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 t="s">
        <v>1138</v>
      </c>
      <c r="Q5" s="60"/>
      <c r="R5" s="60" t="s">
        <v>1139</v>
      </c>
    </row>
    <row r="6">
      <c r="A6" s="35">
        <v>3.0</v>
      </c>
      <c r="B6" s="36" t="s">
        <v>1140</v>
      </c>
      <c r="C6" s="50" t="s">
        <v>1141</v>
      </c>
      <c r="D6" s="51" t="s">
        <v>380</v>
      </c>
      <c r="E6" s="52"/>
      <c r="F6" s="53"/>
      <c r="G6" s="54"/>
      <c r="H6" s="71"/>
      <c r="I6" s="56" t="str">
        <f t="shared" si="1"/>
        <v/>
      </c>
      <c r="J6" s="57" t="str">
        <f t="shared" si="2"/>
        <v/>
      </c>
      <c r="K6" s="54" t="s">
        <v>10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/>
      <c r="Q6" s="60"/>
      <c r="R6" s="60" t="s">
        <v>1142</v>
      </c>
    </row>
    <row r="7">
      <c r="A7" s="35">
        <v>4.0</v>
      </c>
      <c r="B7" s="36" t="s">
        <v>1143</v>
      </c>
      <c r="C7" s="50" t="s">
        <v>1144</v>
      </c>
      <c r="D7" s="51" t="s">
        <v>380</v>
      </c>
      <c r="E7" s="52"/>
      <c r="F7" s="53"/>
      <c r="G7" s="54"/>
      <c r="H7" s="71"/>
      <c r="I7" s="56" t="str">
        <f t="shared" si="1"/>
        <v/>
      </c>
      <c r="J7" s="57" t="str">
        <f t="shared" si="2"/>
        <v/>
      </c>
      <c r="K7" s="54" t="s">
        <v>10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/>
      </c>
      <c r="M7" s="54" t="s">
        <v>82</v>
      </c>
      <c r="N7" s="59"/>
      <c r="O7" s="60"/>
      <c r="P7" s="61"/>
      <c r="Q7" s="60"/>
      <c r="R7" s="60" t="s">
        <v>1145</v>
      </c>
    </row>
    <row r="8">
      <c r="A8" s="35">
        <v>5.0</v>
      </c>
      <c r="B8" s="36" t="s">
        <v>1146</v>
      </c>
      <c r="C8" s="50" t="s">
        <v>1147</v>
      </c>
      <c r="D8" s="51" t="s">
        <v>380</v>
      </c>
      <c r="E8" s="52"/>
      <c r="F8" s="53"/>
      <c r="G8" s="54"/>
      <c r="H8" s="71"/>
      <c r="I8" s="56" t="str">
        <f t="shared" si="1"/>
        <v/>
      </c>
      <c r="J8" s="57" t="str">
        <f t="shared" si="2"/>
        <v/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1148</v>
      </c>
      <c r="Q8" s="60"/>
      <c r="R8" s="60" t="s">
        <v>1149</v>
      </c>
    </row>
    <row r="9">
      <c r="A9" s="35">
        <v>6.0</v>
      </c>
      <c r="B9" s="36" t="s">
        <v>1150</v>
      </c>
      <c r="C9" s="50" t="s">
        <v>1151</v>
      </c>
      <c r="D9" s="51" t="s">
        <v>380</v>
      </c>
      <c r="E9" s="52"/>
      <c r="F9" s="53"/>
      <c r="G9" s="54"/>
      <c r="H9" s="71"/>
      <c r="I9" s="56" t="str">
        <f t="shared" si="1"/>
        <v/>
      </c>
      <c r="J9" s="57" t="str">
        <f t="shared" si="2"/>
        <v/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/>
      <c r="O9" s="60"/>
      <c r="P9" s="61" t="s">
        <v>1152</v>
      </c>
      <c r="Q9" s="60"/>
      <c r="R9" s="60" t="s">
        <v>1153</v>
      </c>
    </row>
    <row r="10">
      <c r="A10" s="35">
        <v>7.0</v>
      </c>
      <c r="B10" s="36" t="s">
        <v>1154</v>
      </c>
      <c r="C10" s="50" t="s">
        <v>1155</v>
      </c>
      <c r="D10" s="51" t="s">
        <v>380</v>
      </c>
      <c r="E10" s="52"/>
      <c r="F10" s="53"/>
      <c r="G10" s="54"/>
      <c r="H10" s="71"/>
      <c r="I10" s="56" t="str">
        <f t="shared" si="1"/>
        <v/>
      </c>
      <c r="J10" s="57" t="str">
        <f t="shared" si="2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/>
      <c r="O10" s="60"/>
      <c r="P10" s="61" t="s">
        <v>1156</v>
      </c>
      <c r="Q10" s="60"/>
      <c r="R10" s="60" t="s">
        <v>1157</v>
      </c>
    </row>
    <row r="11">
      <c r="A11" s="35">
        <v>8.0</v>
      </c>
      <c r="B11" s="36" t="s">
        <v>1158</v>
      </c>
      <c r="C11" s="50" t="s">
        <v>1159</v>
      </c>
      <c r="D11" s="51" t="s">
        <v>376</v>
      </c>
      <c r="E11" s="52"/>
      <c r="F11" s="53"/>
      <c r="G11" s="54"/>
      <c r="H11" s="71" t="s">
        <v>1160</v>
      </c>
      <c r="I11" s="56" t="str">
        <f t="shared" si="1"/>
        <v/>
      </c>
      <c r="J11" s="57" t="str">
        <f t="shared" si="2"/>
        <v/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 t="s">
        <v>83</v>
      </c>
      <c r="O11" s="60" t="s">
        <v>84</v>
      </c>
      <c r="P11" s="61" t="s">
        <v>1161</v>
      </c>
      <c r="Q11" s="60"/>
      <c r="R11" s="60" t="s">
        <v>1162</v>
      </c>
    </row>
    <row r="12">
      <c r="A12" s="35">
        <v>9.0</v>
      </c>
      <c r="B12" s="36" t="s">
        <v>1163</v>
      </c>
      <c r="C12" s="50" t="s">
        <v>1164</v>
      </c>
      <c r="D12" s="51" t="s">
        <v>380</v>
      </c>
      <c r="E12" s="52"/>
      <c r="F12" s="53"/>
      <c r="G12" s="54"/>
      <c r="H12" s="71"/>
      <c r="I12" s="56" t="str">
        <f t="shared" si="1"/>
        <v/>
      </c>
      <c r="J12" s="57" t="str">
        <f t="shared" si="2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/>
      <c r="O12" s="60"/>
      <c r="P12" s="61" t="s">
        <v>1165</v>
      </c>
      <c r="Q12" s="60"/>
      <c r="R12" s="60" t="s">
        <v>1166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2"/>
  <mergeCells count="2">
    <mergeCell ref="A1:P1"/>
    <mergeCell ref="A3:P3"/>
  </mergeCells>
  <conditionalFormatting sqref="K3:K12">
    <cfRule type="cellIs" dxfId="0" priority="1" operator="equal">
      <formula>"Completed"</formula>
    </cfRule>
  </conditionalFormatting>
  <conditionalFormatting sqref="K3:K12">
    <cfRule type="cellIs" dxfId="1" priority="2" operator="equal">
      <formula>"On Track"</formula>
    </cfRule>
  </conditionalFormatting>
  <conditionalFormatting sqref="K3:K12">
    <cfRule type="cellIs" dxfId="2" priority="3" operator="equal">
      <formula>"In Progress"</formula>
    </cfRule>
  </conditionalFormatting>
  <conditionalFormatting sqref="K3:K12">
    <cfRule type="cellIs" dxfId="3" priority="4" operator="equal">
      <formula>"Pending/Blocked"</formula>
    </cfRule>
  </conditionalFormatting>
  <conditionalFormatting sqref="K3:K12">
    <cfRule type="cellIs" dxfId="4" priority="5" operator="equal">
      <formula>"Not Started"</formula>
    </cfRule>
  </conditionalFormatting>
  <conditionalFormatting sqref="L3:L12">
    <cfRule type="expression" dxfId="5" priority="6">
      <formula>ISNUMBER(SEARCH("BOTTOM",L3))</formula>
    </cfRule>
  </conditionalFormatting>
  <conditionalFormatting sqref="L3:L12">
    <cfRule type="expression" dxfId="6" priority="7">
      <formula>OR(ISNUMBER(SEARCH("LOW",L3)),ISNUMBER(SEARCH("HIGH",L3)))</formula>
    </cfRule>
  </conditionalFormatting>
  <conditionalFormatting sqref="L3:L12">
    <cfRule type="expression" dxfId="0" priority="8">
      <formula>ISNUMBER(SEARCH("Cleared",L3))</formula>
    </cfRule>
  </conditionalFormatting>
  <dataValidations>
    <dataValidation type="list" allowBlank="1" sqref="K4:K12">
      <formula1>"Not Started,In Progress,Pending/Blocked,On Track,Completed"</formula1>
    </dataValidation>
    <dataValidation type="list" allowBlank="1" sqref="M4:M12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1168</v>
      </c>
      <c r="C4" s="50" t="s">
        <v>1169</v>
      </c>
      <c r="D4" s="51" t="s">
        <v>894</v>
      </c>
      <c r="E4" s="62">
        <v>0.0</v>
      </c>
      <c r="F4" s="63">
        <v>0.0</v>
      </c>
      <c r="G4" s="54"/>
      <c r="H4" s="55">
        <v>16.0</v>
      </c>
      <c r="I4" s="56" t="str">
        <f t="shared" ref="I4:I13" si="1">IF(AND(ISNUMBER(G4),ISNUMBER(H4)),H4-G4,"")</f>
        <v/>
      </c>
      <c r="J4" s="57" t="str">
        <f t="shared" ref="J4:J13" si="2">IF(AND(ISNUMBER(E4),E4&gt;0,ISNUMBER(H4)),H4/E4,"")</f>
        <v/>
      </c>
      <c r="K4" s="54" t="s">
        <v>10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>🔴 HIGH</v>
      </c>
      <c r="M4" s="54" t="s">
        <v>82</v>
      </c>
      <c r="N4" s="59" t="s">
        <v>83</v>
      </c>
      <c r="O4" s="60" t="s">
        <v>84</v>
      </c>
      <c r="P4" s="61" t="s">
        <v>1170</v>
      </c>
      <c r="Q4" s="60" t="s">
        <v>114</v>
      </c>
      <c r="R4" s="60" t="s">
        <v>1171</v>
      </c>
    </row>
    <row r="5">
      <c r="A5" s="35">
        <v>2.0</v>
      </c>
      <c r="B5" s="36" t="s">
        <v>1172</v>
      </c>
      <c r="C5" s="50" t="s">
        <v>1173</v>
      </c>
      <c r="D5" s="51" t="s">
        <v>1174</v>
      </c>
      <c r="E5" s="62">
        <v>0.0</v>
      </c>
      <c r="F5" s="63">
        <v>0.0</v>
      </c>
      <c r="G5" s="54"/>
      <c r="H5" s="55">
        <v>0.2546</v>
      </c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>🔴 HIGH</v>
      </c>
      <c r="M5" s="54" t="s">
        <v>82</v>
      </c>
      <c r="N5" s="59" t="s">
        <v>83</v>
      </c>
      <c r="O5" s="60" t="s">
        <v>84</v>
      </c>
      <c r="P5" s="61" t="s">
        <v>1175</v>
      </c>
      <c r="Q5" s="60" t="s">
        <v>114</v>
      </c>
      <c r="R5" s="60" t="s">
        <v>1176</v>
      </c>
    </row>
    <row r="6">
      <c r="A6" s="48"/>
      <c r="B6" s="49"/>
      <c r="C6" s="50" t="s">
        <v>1177</v>
      </c>
      <c r="D6" s="51" t="s">
        <v>1174</v>
      </c>
      <c r="E6" s="62">
        <v>3.34</v>
      </c>
      <c r="F6" s="63">
        <v>3.34</v>
      </c>
      <c r="G6" s="54"/>
      <c r="H6" s="55">
        <v>1.413</v>
      </c>
      <c r="I6" s="56" t="str">
        <f t="shared" si="1"/>
        <v/>
      </c>
      <c r="J6" s="57">
        <f t="shared" si="2"/>
        <v>0.4230538922</v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>🔴 LOW</v>
      </c>
      <c r="M6" s="54" t="s">
        <v>82</v>
      </c>
      <c r="N6" s="59" t="s">
        <v>83</v>
      </c>
      <c r="O6" s="60" t="s">
        <v>84</v>
      </c>
      <c r="P6" s="61" t="s">
        <v>1178</v>
      </c>
      <c r="Q6" s="60" t="s">
        <v>110</v>
      </c>
      <c r="R6" s="60" t="s">
        <v>1179</v>
      </c>
    </row>
    <row r="7">
      <c r="A7" s="48"/>
      <c r="B7" s="49"/>
      <c r="C7" s="50" t="s">
        <v>1180</v>
      </c>
      <c r="D7" s="51" t="s">
        <v>380</v>
      </c>
      <c r="E7" s="52"/>
      <c r="F7" s="53"/>
      <c r="G7" s="54"/>
      <c r="H7" s="71"/>
      <c r="I7" s="56" t="str">
        <f t="shared" si="1"/>
        <v/>
      </c>
      <c r="J7" s="57" t="str">
        <f t="shared" si="2"/>
        <v/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/>
      </c>
      <c r="M7" s="54" t="s">
        <v>82</v>
      </c>
      <c r="N7" s="59"/>
      <c r="O7" s="60"/>
      <c r="P7" s="61" t="s">
        <v>1181</v>
      </c>
      <c r="Q7" s="60"/>
      <c r="R7" s="60" t="s">
        <v>1182</v>
      </c>
    </row>
    <row r="8">
      <c r="A8" s="48"/>
      <c r="B8" s="49"/>
      <c r="C8" s="50" t="s">
        <v>1183</v>
      </c>
      <c r="D8" s="51" t="s">
        <v>380</v>
      </c>
      <c r="E8" s="52"/>
      <c r="F8" s="53"/>
      <c r="G8" s="54"/>
      <c r="H8" s="71"/>
      <c r="I8" s="56" t="str">
        <f t="shared" si="1"/>
        <v/>
      </c>
      <c r="J8" s="57" t="str">
        <f t="shared" si="2"/>
        <v/>
      </c>
      <c r="K8" s="54" t="s">
        <v>10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396</v>
      </c>
      <c r="Q8" s="60"/>
      <c r="R8" s="60" t="s">
        <v>1184</v>
      </c>
    </row>
    <row r="9">
      <c r="A9" s="35">
        <v>3.0</v>
      </c>
      <c r="B9" s="36" t="s">
        <v>1185</v>
      </c>
      <c r="C9" s="50" t="s">
        <v>1186</v>
      </c>
      <c r="D9" s="51" t="s">
        <v>380</v>
      </c>
      <c r="E9" s="52"/>
      <c r="F9" s="53"/>
      <c r="G9" s="54"/>
      <c r="H9" s="71"/>
      <c r="I9" s="56" t="str">
        <f t="shared" si="1"/>
        <v/>
      </c>
      <c r="J9" s="57" t="str">
        <f t="shared" si="2"/>
        <v/>
      </c>
      <c r="K9" s="54" t="s">
        <v>10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/>
      <c r="O9" s="60"/>
      <c r="P9" s="61" t="s">
        <v>1187</v>
      </c>
      <c r="Q9" s="60"/>
      <c r="R9" s="60" t="s">
        <v>1188</v>
      </c>
    </row>
    <row r="10">
      <c r="A10" s="48"/>
      <c r="B10" s="49"/>
      <c r="C10" s="50" t="s">
        <v>1189</v>
      </c>
      <c r="D10" s="51" t="s">
        <v>380</v>
      </c>
      <c r="E10" s="52"/>
      <c r="F10" s="53"/>
      <c r="G10" s="54"/>
      <c r="H10" s="71"/>
      <c r="I10" s="56" t="str">
        <f t="shared" si="1"/>
        <v/>
      </c>
      <c r="J10" s="57" t="str">
        <f t="shared" si="2"/>
        <v/>
      </c>
      <c r="K10" s="54" t="s">
        <v>10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/>
      <c r="O10" s="60"/>
      <c r="P10" s="61" t="s">
        <v>1190</v>
      </c>
      <c r="Q10" s="60"/>
      <c r="R10" s="60" t="s">
        <v>1191</v>
      </c>
    </row>
    <row r="11">
      <c r="A11" s="48"/>
      <c r="B11" s="49"/>
      <c r="C11" s="50" t="s">
        <v>1192</v>
      </c>
      <c r="D11" s="51" t="s">
        <v>761</v>
      </c>
      <c r="E11" s="52"/>
      <c r="F11" s="53"/>
      <c r="G11" s="54"/>
      <c r="H11" s="55">
        <v>15.78</v>
      </c>
      <c r="I11" s="56" t="str">
        <f t="shared" si="1"/>
        <v/>
      </c>
      <c r="J11" s="57" t="str">
        <f t="shared" si="2"/>
        <v/>
      </c>
      <c r="K11" s="54" t="s">
        <v>9</v>
      </c>
      <c r="L11" s="58" t="str">
        <f>IF(M11="Yes","🔴 BOTTOM",IF(M11="No","✓ Cleared",IF(Q11="MIN",IF(AND(ISNUMBER(F11),ISNUMBER(H11)),IF(H11&lt;F11*'Master Dashboard'!$B$4,"🔴 LOW",""),""),IF(Q11="MAX",IF(AND(ISNUMBER(F11),ISNUMBER(H11)),IF(H11&gt;F11,"🔴 HIGH",""),""),""))))</f>
        <v/>
      </c>
      <c r="M11" s="54" t="s">
        <v>82</v>
      </c>
      <c r="N11" s="59" t="s">
        <v>83</v>
      </c>
      <c r="O11" s="60" t="s">
        <v>84</v>
      </c>
      <c r="P11" s="61" t="s">
        <v>1193</v>
      </c>
      <c r="Q11" s="60"/>
      <c r="R11" s="60" t="s">
        <v>1194</v>
      </c>
    </row>
    <row r="12">
      <c r="A12" s="35">
        <v>4.0</v>
      </c>
      <c r="B12" s="36" t="s">
        <v>1195</v>
      </c>
      <c r="C12" s="50" t="s">
        <v>1196</v>
      </c>
      <c r="D12" s="51" t="s">
        <v>380</v>
      </c>
      <c r="E12" s="52"/>
      <c r="F12" s="53"/>
      <c r="G12" s="54"/>
      <c r="H12" s="71"/>
      <c r="I12" s="56" t="str">
        <f t="shared" si="1"/>
        <v/>
      </c>
      <c r="J12" s="57" t="str">
        <f t="shared" si="2"/>
        <v/>
      </c>
      <c r="K12" s="54" t="s">
        <v>9</v>
      </c>
      <c r="L12" s="58" t="str">
        <f>IF(M12="Yes","🔴 BOTTOM",IF(M12="No","✓ Cleared",IF(Q12="MIN",IF(AND(ISNUMBER(F12),ISNUMBER(H12)),IF(H12&lt;F12*'Master Dashboard'!$B$4,"🔴 LOW",""),""),IF(Q12="MAX",IF(AND(ISNUMBER(F12),ISNUMBER(H12)),IF(H12&gt;F12,"🔴 HIGH",""),""),""))))</f>
        <v/>
      </c>
      <c r="M12" s="54" t="s">
        <v>82</v>
      </c>
      <c r="N12" s="59"/>
      <c r="O12" s="60"/>
      <c r="P12" s="61" t="s">
        <v>1197</v>
      </c>
      <c r="Q12" s="60"/>
      <c r="R12" s="60" t="s">
        <v>1198</v>
      </c>
    </row>
    <row r="13">
      <c r="A13" s="35">
        <v>5.0</v>
      </c>
      <c r="B13" s="36" t="s">
        <v>1199</v>
      </c>
      <c r="C13" s="50" t="s">
        <v>1200</v>
      </c>
      <c r="D13" s="51" t="s">
        <v>367</v>
      </c>
      <c r="E13" s="52"/>
      <c r="F13" s="53"/>
      <c r="G13" s="54"/>
      <c r="H13" s="71"/>
      <c r="I13" s="56" t="str">
        <f t="shared" si="1"/>
        <v/>
      </c>
      <c r="J13" s="57" t="str">
        <f t="shared" si="2"/>
        <v/>
      </c>
      <c r="K13" s="54" t="s">
        <v>9</v>
      </c>
      <c r="L13" s="58" t="str">
        <f>IF(M13="Yes","🔴 BOTTOM",IF(M13="No","✓ Cleared",IF(Q13="MIN",IF(AND(ISNUMBER(F13),ISNUMBER(H13)),IF(H13&lt;F13*'Master Dashboard'!$B$4,"🔴 LOW",""),""),IF(Q13="MAX",IF(AND(ISNUMBER(F13),ISNUMBER(H13)),IF(H13&gt;F13,"🔴 HIGH",""),""),""))))</f>
        <v/>
      </c>
      <c r="M13" s="54" t="s">
        <v>82</v>
      </c>
      <c r="N13" s="59"/>
      <c r="O13" s="60"/>
      <c r="P13" s="61" t="s">
        <v>1201</v>
      </c>
      <c r="Q13" s="60"/>
      <c r="R13" s="60" t="s">
        <v>1202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3"/>
  <mergeCells count="2">
    <mergeCell ref="A1:P1"/>
    <mergeCell ref="A3:P3"/>
  </mergeCells>
  <conditionalFormatting sqref="K3:K13">
    <cfRule type="cellIs" dxfId="0" priority="1" operator="equal">
      <formula>"Completed"</formula>
    </cfRule>
  </conditionalFormatting>
  <conditionalFormatting sqref="K3:K13">
    <cfRule type="cellIs" dxfId="1" priority="2" operator="equal">
      <formula>"On Track"</formula>
    </cfRule>
  </conditionalFormatting>
  <conditionalFormatting sqref="K3:K13">
    <cfRule type="cellIs" dxfId="2" priority="3" operator="equal">
      <formula>"In Progress"</formula>
    </cfRule>
  </conditionalFormatting>
  <conditionalFormatting sqref="K3:K13">
    <cfRule type="cellIs" dxfId="3" priority="4" operator="equal">
      <formula>"Pending/Blocked"</formula>
    </cfRule>
  </conditionalFormatting>
  <conditionalFormatting sqref="K3:K13">
    <cfRule type="cellIs" dxfId="4" priority="5" operator="equal">
      <formula>"Not Started"</formula>
    </cfRule>
  </conditionalFormatting>
  <conditionalFormatting sqref="L3:L13">
    <cfRule type="expression" dxfId="5" priority="6">
      <formula>ISNUMBER(SEARCH("BOTTOM",L3))</formula>
    </cfRule>
  </conditionalFormatting>
  <conditionalFormatting sqref="L3:L13">
    <cfRule type="expression" dxfId="6" priority="7">
      <formula>OR(ISNUMBER(SEARCH("LOW",L3)),ISNUMBER(SEARCH("HIGH",L3)))</formula>
    </cfRule>
  </conditionalFormatting>
  <conditionalFormatting sqref="L3:L13">
    <cfRule type="expression" dxfId="0" priority="8">
      <formula>ISNUMBER(SEARCH("Cleared",L3))</formula>
    </cfRule>
  </conditionalFormatting>
  <dataValidations>
    <dataValidation type="list" allowBlank="1" sqref="K4:K13">
      <formula1>"Not Started,In Progress,Pending/Blocked,On Track,Completed"</formula1>
    </dataValidation>
    <dataValidation type="list" allowBlank="1" sqref="M4:M13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1204</v>
      </c>
      <c r="C4" s="50" t="s">
        <v>1205</v>
      </c>
      <c r="D4" s="51" t="s">
        <v>902</v>
      </c>
      <c r="E4" s="52"/>
      <c r="F4" s="53"/>
      <c r="G4" s="54"/>
      <c r="H4" s="55">
        <v>1.5</v>
      </c>
      <c r="I4" s="56" t="str">
        <f t="shared" ref="I4:I10" si="1">IF(AND(ISNUMBER(G4),ISNUMBER(H4)),H4-G4,"")</f>
        <v/>
      </c>
      <c r="J4" s="57" t="str">
        <f t="shared" ref="J4:J10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 t="s">
        <v>83</v>
      </c>
      <c r="O4" s="60" t="s">
        <v>84</v>
      </c>
      <c r="P4" s="61" t="s">
        <v>1206</v>
      </c>
      <c r="Q4" s="60"/>
      <c r="R4" s="60" t="s">
        <v>1207</v>
      </c>
    </row>
    <row r="5">
      <c r="A5" s="48"/>
      <c r="B5" s="49"/>
      <c r="C5" s="50" t="s">
        <v>1208</v>
      </c>
      <c r="D5" s="51" t="s">
        <v>309</v>
      </c>
      <c r="E5" s="62">
        <v>0.0</v>
      </c>
      <c r="F5" s="63">
        <v>0.0</v>
      </c>
      <c r="G5" s="54"/>
      <c r="H5" s="55">
        <v>6.0</v>
      </c>
      <c r="I5" s="56" t="str">
        <f t="shared" si="1"/>
        <v/>
      </c>
      <c r="J5" s="57" t="str">
        <f t="shared" si="2"/>
        <v/>
      </c>
      <c r="K5" s="54" t="s">
        <v>10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>🔴 HIGH</v>
      </c>
      <c r="M5" s="54" t="s">
        <v>82</v>
      </c>
      <c r="N5" s="59" t="s">
        <v>83</v>
      </c>
      <c r="O5" s="60" t="s">
        <v>84</v>
      </c>
      <c r="P5" s="61" t="s">
        <v>1209</v>
      </c>
      <c r="Q5" s="60" t="s">
        <v>114</v>
      </c>
      <c r="R5" s="60" t="s">
        <v>1210</v>
      </c>
    </row>
    <row r="6">
      <c r="A6" s="48"/>
      <c r="B6" s="49"/>
      <c r="C6" s="50" t="s">
        <v>1211</v>
      </c>
      <c r="D6" s="51" t="s">
        <v>380</v>
      </c>
      <c r="E6" s="52"/>
      <c r="F6" s="53"/>
      <c r="G6" s="54"/>
      <c r="H6" s="71"/>
      <c r="I6" s="56" t="str">
        <f t="shared" si="1"/>
        <v/>
      </c>
      <c r="J6" s="57" t="str">
        <f t="shared" si="2"/>
        <v/>
      </c>
      <c r="K6" s="54" t="s">
        <v>10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 t="s">
        <v>1212</v>
      </c>
      <c r="Q6" s="60"/>
      <c r="R6" s="60" t="s">
        <v>1213</v>
      </c>
    </row>
    <row r="7">
      <c r="A7" s="48"/>
      <c r="B7" s="49"/>
      <c r="C7" s="50" t="s">
        <v>1214</v>
      </c>
      <c r="D7" s="51" t="s">
        <v>367</v>
      </c>
      <c r="E7" s="52"/>
      <c r="F7" s="53"/>
      <c r="G7" s="54"/>
      <c r="H7" s="71"/>
      <c r="I7" s="56" t="str">
        <f t="shared" si="1"/>
        <v/>
      </c>
      <c r="J7" s="57" t="str">
        <f t="shared" si="2"/>
        <v/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/>
      </c>
      <c r="M7" s="54" t="s">
        <v>82</v>
      </c>
      <c r="N7" s="59"/>
      <c r="O7" s="60"/>
      <c r="P7" s="61" t="s">
        <v>1215</v>
      </c>
      <c r="Q7" s="60"/>
      <c r="R7" s="60" t="s">
        <v>1216</v>
      </c>
    </row>
    <row r="8">
      <c r="A8" s="35">
        <v>2.0</v>
      </c>
      <c r="B8" s="36" t="s">
        <v>1217</v>
      </c>
      <c r="C8" s="50" t="s">
        <v>736</v>
      </c>
      <c r="D8" s="51" t="s">
        <v>371</v>
      </c>
      <c r="E8" s="62">
        <v>0.0</v>
      </c>
      <c r="F8" s="63">
        <v>0.0</v>
      </c>
      <c r="G8" s="54"/>
      <c r="H8" s="71"/>
      <c r="I8" s="56" t="str">
        <f t="shared" si="1"/>
        <v/>
      </c>
      <c r="J8" s="57" t="str">
        <f t="shared" si="2"/>
        <v/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737</v>
      </c>
      <c r="Q8" s="60" t="s">
        <v>114</v>
      </c>
      <c r="R8" s="60" t="s">
        <v>1218</v>
      </c>
    </row>
    <row r="9">
      <c r="A9" s="35">
        <v>3.0</v>
      </c>
      <c r="B9" s="36" t="s">
        <v>1219</v>
      </c>
      <c r="C9" s="50" t="s">
        <v>1220</v>
      </c>
      <c r="D9" s="51" t="s">
        <v>380</v>
      </c>
      <c r="E9" s="52"/>
      <c r="F9" s="53"/>
      <c r="G9" s="54"/>
      <c r="H9" s="71" t="s">
        <v>1221</v>
      </c>
      <c r="I9" s="56" t="str">
        <f t="shared" si="1"/>
        <v/>
      </c>
      <c r="J9" s="57" t="str">
        <f t="shared" si="2"/>
        <v/>
      </c>
      <c r="K9" s="54" t="s">
        <v>9</v>
      </c>
      <c r="L9" s="58" t="str">
        <f>IF(M9="Yes","🔴 BOTTOM",IF(M9="No","✓ Cleared",IF(Q9="MIN",IF(AND(ISNUMBER(F9),ISNUMBER(H9)),IF(H9&lt;F9*'Master Dashboard'!$B$4,"🔴 LOW",""),""),IF(Q9="MAX",IF(AND(ISNUMBER(F9),ISNUMBER(H9)),IF(H9&gt;F9,"🔴 HIGH",""),""),""))))</f>
        <v/>
      </c>
      <c r="M9" s="54" t="s">
        <v>82</v>
      </c>
      <c r="N9" s="59" t="s">
        <v>83</v>
      </c>
      <c r="O9" s="60" t="s">
        <v>84</v>
      </c>
      <c r="P9" s="61" t="s">
        <v>1222</v>
      </c>
      <c r="Q9" s="60"/>
      <c r="R9" s="60" t="s">
        <v>1223</v>
      </c>
    </row>
    <row r="10">
      <c r="A10" s="35">
        <v>4.0</v>
      </c>
      <c r="B10" s="36" t="s">
        <v>1224</v>
      </c>
      <c r="C10" s="50" t="s">
        <v>1225</v>
      </c>
      <c r="D10" s="51" t="s">
        <v>380</v>
      </c>
      <c r="E10" s="52"/>
      <c r="F10" s="53"/>
      <c r="G10" s="54"/>
      <c r="H10" s="71" t="s">
        <v>1221</v>
      </c>
      <c r="I10" s="56" t="str">
        <f t="shared" si="1"/>
        <v/>
      </c>
      <c r="J10" s="57" t="str">
        <f t="shared" si="2"/>
        <v/>
      </c>
      <c r="K10" s="54" t="s">
        <v>7</v>
      </c>
      <c r="L10" s="58" t="str">
        <f>IF(M10="Yes","🔴 BOTTOM",IF(M10="No","✓ Cleared",IF(Q10="MIN",IF(AND(ISNUMBER(F10),ISNUMBER(H10)),IF(H10&lt;F10*'Master Dashboard'!$B$4,"🔴 LOW",""),""),IF(Q10="MAX",IF(AND(ISNUMBER(F10),ISNUMBER(H10)),IF(H10&gt;F10,"🔴 HIGH",""),""),""))))</f>
        <v/>
      </c>
      <c r="M10" s="54" t="s">
        <v>82</v>
      </c>
      <c r="N10" s="59" t="s">
        <v>83</v>
      </c>
      <c r="O10" s="60" t="s">
        <v>84</v>
      </c>
      <c r="P10" s="61" t="s">
        <v>1226</v>
      </c>
      <c r="Q10" s="60"/>
      <c r="R10" s="60" t="s">
        <v>1227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0"/>
  <mergeCells count="2">
    <mergeCell ref="A1:P1"/>
    <mergeCell ref="A3:P3"/>
  </mergeCells>
  <conditionalFormatting sqref="K3:K10">
    <cfRule type="cellIs" dxfId="0" priority="1" operator="equal">
      <formula>"Completed"</formula>
    </cfRule>
  </conditionalFormatting>
  <conditionalFormatting sqref="K3:K10">
    <cfRule type="cellIs" dxfId="1" priority="2" operator="equal">
      <formula>"On Track"</formula>
    </cfRule>
  </conditionalFormatting>
  <conditionalFormatting sqref="K3:K10">
    <cfRule type="cellIs" dxfId="2" priority="3" operator="equal">
      <formula>"In Progress"</formula>
    </cfRule>
  </conditionalFormatting>
  <conditionalFormatting sqref="K3:K10">
    <cfRule type="cellIs" dxfId="3" priority="4" operator="equal">
      <formula>"Pending/Blocked"</formula>
    </cfRule>
  </conditionalFormatting>
  <conditionalFormatting sqref="K3:K10">
    <cfRule type="cellIs" dxfId="4" priority="5" operator="equal">
      <formula>"Not Started"</formula>
    </cfRule>
  </conditionalFormatting>
  <conditionalFormatting sqref="L3:L10">
    <cfRule type="expression" dxfId="5" priority="6">
      <formula>ISNUMBER(SEARCH("BOTTOM",L3))</formula>
    </cfRule>
  </conditionalFormatting>
  <conditionalFormatting sqref="L3:L10">
    <cfRule type="expression" dxfId="6" priority="7">
      <formula>OR(ISNUMBER(SEARCH("LOW",L3)),ISNUMBER(SEARCH("HIGH",L3)))</formula>
    </cfRule>
  </conditionalFormatting>
  <conditionalFormatting sqref="L3:L10">
    <cfRule type="expression" dxfId="0" priority="8">
      <formula>ISNUMBER(SEARCH("Cleared",L3))</formula>
    </cfRule>
  </conditionalFormatting>
  <dataValidations>
    <dataValidation type="list" allowBlank="1" sqref="K4:K10">
      <formula1>"Not Started,In Progress,Pending/Blocked,On Track,Completed"</formula1>
    </dataValidation>
    <dataValidation type="list" allowBlank="1" sqref="M4:M10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3.0"/>
    <col customWidth="1" min="4" max="4" width="22.0"/>
    <col customWidth="1" min="5" max="5" width="10.0"/>
    <col customWidth="1" min="6" max="7" width="8.0"/>
    <col customWidth="1" min="8" max="8" width="9.0"/>
    <col customWidth="1" min="9" max="10" width="8.0"/>
    <col customWidth="1" min="11" max="11" width="14.0"/>
    <col customWidth="1" min="12" max="12" width="12.0"/>
    <col customWidth="1" min="13" max="14" width="11.0"/>
    <col customWidth="1" min="15" max="15" width="10.0"/>
    <col customWidth="1" min="16" max="16" width="42.0"/>
    <col customWidth="1" hidden="1" min="17" max="17" width="6.0"/>
    <col customWidth="1" hidden="1" min="18" max="18" width="10.0"/>
    <col customWidth="1" min="19" max="26" width="8.71"/>
  </cols>
  <sheetData>
    <row r="1" ht="21.75" customHeight="1">
      <c r="A1" s="32" t="s">
        <v>1228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0" customHeight="1">
      <c r="A2" s="33" t="s">
        <v>52</v>
      </c>
      <c r="B2" s="33" t="s">
        <v>53</v>
      </c>
      <c r="C2" s="33" t="s">
        <v>54</v>
      </c>
      <c r="D2" s="33" t="s">
        <v>55</v>
      </c>
      <c r="E2" s="33" t="s">
        <v>56</v>
      </c>
      <c r="F2" s="33" t="s">
        <v>57</v>
      </c>
      <c r="G2" s="33" t="s">
        <v>58</v>
      </c>
      <c r="H2" s="33" t="s">
        <v>59</v>
      </c>
      <c r="I2" s="33" t="s">
        <v>60</v>
      </c>
      <c r="J2" s="33" t="s">
        <v>61</v>
      </c>
      <c r="K2" s="33" t="s">
        <v>62</v>
      </c>
      <c r="L2" s="33" t="s">
        <v>63</v>
      </c>
      <c r="M2" s="33" t="s">
        <v>64</v>
      </c>
      <c r="N2" s="33" t="s">
        <v>65</v>
      </c>
      <c r="O2" s="33" t="s">
        <v>66</v>
      </c>
      <c r="P2" s="33" t="s">
        <v>67</v>
      </c>
      <c r="Q2" s="33" t="s">
        <v>68</v>
      </c>
      <c r="R2" s="33" t="s">
        <v>69</v>
      </c>
    </row>
    <row r="3" ht="19.5" customHeight="1">
      <c r="A3" s="67" t="s">
        <v>360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>
      <c r="A4" s="35">
        <v>1.0</v>
      </c>
      <c r="B4" s="36" t="s">
        <v>1229</v>
      </c>
      <c r="C4" s="50" t="s">
        <v>1230</v>
      </c>
      <c r="D4" s="51" t="s">
        <v>554</v>
      </c>
      <c r="E4" s="62">
        <v>0.0</v>
      </c>
      <c r="F4" s="63">
        <v>0.0</v>
      </c>
      <c r="G4" s="54"/>
      <c r="H4" s="71"/>
      <c r="I4" s="56" t="str">
        <f t="shared" ref="I4:I8" si="1">IF(AND(ISNUMBER(G4),ISNUMBER(H4)),H4-G4,"")</f>
        <v/>
      </c>
      <c r="J4" s="57" t="str">
        <f t="shared" ref="J4:J8" si="2">IF(AND(ISNUMBER(E4),E4&gt;0,ISNUMBER(H4)),H4/E4,"")</f>
        <v/>
      </c>
      <c r="K4" s="54" t="s">
        <v>9</v>
      </c>
      <c r="L4" s="58" t="str">
        <f>IF(M4="Yes","🔴 BOTTOM",IF(M4="No","✓ Cleared",IF(Q4="MIN",IF(AND(ISNUMBER(F4),ISNUMBER(H4)),IF(H4&lt;F4*'Master Dashboard'!$B$4,"🔴 LOW",""),""),IF(Q4="MAX",IF(AND(ISNUMBER(F4),ISNUMBER(H4)),IF(H4&gt;F4,"🔴 HIGH",""),""),""))))</f>
        <v/>
      </c>
      <c r="M4" s="54" t="s">
        <v>82</v>
      </c>
      <c r="N4" s="59"/>
      <c r="O4" s="60"/>
      <c r="P4" s="61" t="s">
        <v>1231</v>
      </c>
      <c r="Q4" s="60" t="s">
        <v>114</v>
      </c>
      <c r="R4" s="60" t="s">
        <v>1232</v>
      </c>
    </row>
    <row r="5">
      <c r="A5" s="48"/>
      <c r="B5" s="49"/>
      <c r="C5" s="50" t="s">
        <v>1233</v>
      </c>
      <c r="D5" s="51" t="s">
        <v>554</v>
      </c>
      <c r="E5" s="62">
        <v>0.0</v>
      </c>
      <c r="F5" s="63">
        <v>0.0</v>
      </c>
      <c r="G5" s="54"/>
      <c r="H5" s="71"/>
      <c r="I5" s="56" t="str">
        <f t="shared" si="1"/>
        <v/>
      </c>
      <c r="J5" s="57" t="str">
        <f t="shared" si="2"/>
        <v/>
      </c>
      <c r="K5" s="54" t="s">
        <v>9</v>
      </c>
      <c r="L5" s="58" t="str">
        <f>IF(M5="Yes","🔴 BOTTOM",IF(M5="No","✓ Cleared",IF(Q5="MIN",IF(AND(ISNUMBER(F5),ISNUMBER(H5)),IF(H5&lt;F5*'Master Dashboard'!$B$4,"🔴 LOW",""),""),IF(Q5="MAX",IF(AND(ISNUMBER(F5),ISNUMBER(H5)),IF(H5&gt;F5,"🔴 HIGH",""),""),""))))</f>
        <v/>
      </c>
      <c r="M5" s="54" t="s">
        <v>82</v>
      </c>
      <c r="N5" s="59"/>
      <c r="O5" s="60"/>
      <c r="P5" s="61"/>
      <c r="Q5" s="60" t="s">
        <v>114</v>
      </c>
      <c r="R5" s="60" t="s">
        <v>1234</v>
      </c>
    </row>
    <row r="6">
      <c r="A6" s="35">
        <v>2.0</v>
      </c>
      <c r="B6" s="36" t="s">
        <v>1235</v>
      </c>
      <c r="C6" s="50" t="s">
        <v>1236</v>
      </c>
      <c r="D6" s="51" t="s">
        <v>371</v>
      </c>
      <c r="E6" s="52"/>
      <c r="F6" s="53"/>
      <c r="G6" s="56">
        <v>25.0</v>
      </c>
      <c r="H6" s="71"/>
      <c r="I6" s="56" t="str">
        <f t="shared" si="1"/>
        <v/>
      </c>
      <c r="J6" s="57" t="str">
        <f t="shared" si="2"/>
        <v/>
      </c>
      <c r="K6" s="54" t="s">
        <v>9</v>
      </c>
      <c r="L6" s="58" t="str">
        <f>IF(M6="Yes","🔴 BOTTOM",IF(M6="No","✓ Cleared",IF(Q6="MIN",IF(AND(ISNUMBER(F6),ISNUMBER(H6)),IF(H6&lt;F6*'Master Dashboard'!$B$4,"🔴 LOW",""),""),IF(Q6="MAX",IF(AND(ISNUMBER(F6),ISNUMBER(H6)),IF(H6&gt;F6,"🔴 HIGH",""),""),""))))</f>
        <v/>
      </c>
      <c r="M6" s="54" t="s">
        <v>82</v>
      </c>
      <c r="N6" s="59"/>
      <c r="O6" s="60"/>
      <c r="P6" s="61" t="s">
        <v>1237</v>
      </c>
      <c r="Q6" s="60"/>
      <c r="R6" s="60" t="s">
        <v>1238</v>
      </c>
    </row>
    <row r="7">
      <c r="A7" s="48"/>
      <c r="B7" s="49"/>
      <c r="C7" s="50" t="s">
        <v>1239</v>
      </c>
      <c r="D7" s="51" t="s">
        <v>371</v>
      </c>
      <c r="E7" s="52"/>
      <c r="F7" s="53"/>
      <c r="G7" s="54"/>
      <c r="H7" s="71"/>
      <c r="I7" s="56" t="str">
        <f t="shared" si="1"/>
        <v/>
      </c>
      <c r="J7" s="57" t="str">
        <f t="shared" si="2"/>
        <v/>
      </c>
      <c r="K7" s="54" t="s">
        <v>9</v>
      </c>
      <c r="L7" s="58" t="str">
        <f>IF(M7="Yes","🔴 BOTTOM",IF(M7="No","✓ Cleared",IF(Q7="MIN",IF(AND(ISNUMBER(F7),ISNUMBER(H7)),IF(H7&lt;F7*'Master Dashboard'!$B$4,"🔴 LOW",""),""),IF(Q7="MAX",IF(AND(ISNUMBER(F7),ISNUMBER(H7)),IF(H7&gt;F7,"🔴 HIGH",""),""),""))))</f>
        <v/>
      </c>
      <c r="M7" s="54" t="s">
        <v>82</v>
      </c>
      <c r="N7" s="59"/>
      <c r="O7" s="60"/>
      <c r="P7" s="61"/>
      <c r="Q7" s="60"/>
      <c r="R7" s="60" t="s">
        <v>1240</v>
      </c>
    </row>
    <row r="8">
      <c r="A8" s="35">
        <v>3.0</v>
      </c>
      <c r="B8" s="36" t="s">
        <v>1241</v>
      </c>
      <c r="C8" s="50" t="s">
        <v>1242</v>
      </c>
      <c r="D8" s="51" t="s">
        <v>380</v>
      </c>
      <c r="E8" s="52"/>
      <c r="F8" s="53"/>
      <c r="G8" s="54"/>
      <c r="H8" s="71"/>
      <c r="I8" s="56" t="str">
        <f t="shared" si="1"/>
        <v/>
      </c>
      <c r="J8" s="57" t="str">
        <f t="shared" si="2"/>
        <v/>
      </c>
      <c r="K8" s="54" t="s">
        <v>9</v>
      </c>
      <c r="L8" s="58" t="str">
        <f>IF(M8="Yes","🔴 BOTTOM",IF(M8="No","✓ Cleared",IF(Q8="MIN",IF(AND(ISNUMBER(F8),ISNUMBER(H8)),IF(H8&lt;F8*'Master Dashboard'!$B$4,"🔴 LOW",""),""),IF(Q8="MAX",IF(AND(ISNUMBER(F8),ISNUMBER(H8)),IF(H8&gt;F8,"🔴 HIGH",""),""),""))))</f>
        <v/>
      </c>
      <c r="M8" s="54" t="s">
        <v>82</v>
      </c>
      <c r="N8" s="59"/>
      <c r="O8" s="60"/>
      <c r="P8" s="61" t="s">
        <v>1243</v>
      </c>
      <c r="Q8" s="60"/>
      <c r="R8" s="60" t="s">
        <v>1244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8"/>
  <mergeCells count="2">
    <mergeCell ref="A1:P1"/>
    <mergeCell ref="A3:P3"/>
  </mergeCells>
  <conditionalFormatting sqref="K3:K8">
    <cfRule type="cellIs" dxfId="0" priority="1" operator="equal">
      <formula>"Completed"</formula>
    </cfRule>
  </conditionalFormatting>
  <conditionalFormatting sqref="K3:K8">
    <cfRule type="cellIs" dxfId="1" priority="2" operator="equal">
      <formula>"On Track"</formula>
    </cfRule>
  </conditionalFormatting>
  <conditionalFormatting sqref="K3:K8">
    <cfRule type="cellIs" dxfId="2" priority="3" operator="equal">
      <formula>"In Progress"</formula>
    </cfRule>
  </conditionalFormatting>
  <conditionalFormatting sqref="K3:K8">
    <cfRule type="cellIs" dxfId="3" priority="4" operator="equal">
      <formula>"Pending/Blocked"</formula>
    </cfRule>
  </conditionalFormatting>
  <conditionalFormatting sqref="K3:K8">
    <cfRule type="cellIs" dxfId="4" priority="5" operator="equal">
      <formula>"Not Started"</formula>
    </cfRule>
  </conditionalFormatting>
  <conditionalFormatting sqref="L3:L8">
    <cfRule type="expression" dxfId="5" priority="6">
      <formula>ISNUMBER(SEARCH("BOTTOM",L3))</formula>
    </cfRule>
  </conditionalFormatting>
  <conditionalFormatting sqref="L3:L8">
    <cfRule type="expression" dxfId="6" priority="7">
      <formula>OR(ISNUMBER(SEARCH("LOW",L3)),ISNUMBER(SEARCH("HIGH",L3)))</formula>
    </cfRule>
  </conditionalFormatting>
  <conditionalFormatting sqref="L3:L8">
    <cfRule type="expression" dxfId="0" priority="8">
      <formula>ISNUMBER(SEARCH("Cleared",L3))</formula>
    </cfRule>
  </conditionalFormatting>
  <dataValidations>
    <dataValidation type="list" allowBlank="1" sqref="K4:K8">
      <formula1>"Not Started,In Progress,Pending/Blocked,On Track,Completed"</formula1>
    </dataValidation>
    <dataValidation type="list" allowBlank="1" sqref="M4:M8">
      <formula1>"Auto,Yes,No"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8135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110.0"/>
    <col customWidth="1" min="4" max="26" width="8.71"/>
  </cols>
  <sheetData>
    <row r="1" ht="24.0" customHeight="1">
      <c r="B1" s="74" t="s">
        <v>1245</v>
      </c>
      <c r="C1" s="3"/>
    </row>
    <row r="3">
      <c r="B3" s="75" t="s">
        <v>1246</v>
      </c>
      <c r="C3" s="27" t="s">
        <v>1247</v>
      </c>
    </row>
    <row r="4">
      <c r="B4" s="75" t="s">
        <v>1248</v>
      </c>
      <c r="C4" s="27" t="s">
        <v>1249</v>
      </c>
    </row>
    <row r="5">
      <c r="B5" s="75" t="s">
        <v>1250</v>
      </c>
      <c r="C5" s="27" t="s">
        <v>1251</v>
      </c>
    </row>
    <row r="7" ht="15.0" customHeight="1">
      <c r="B7" s="34" t="s">
        <v>1252</v>
      </c>
      <c r="C7" s="3"/>
    </row>
    <row r="8">
      <c r="B8" s="76" t="s">
        <v>1253</v>
      </c>
      <c r="C8" s="77" t="str">
        <f>IFERROR(__xludf.DUMMYFUNCTION("IFERROR(VLOOKUP($R3, importrange(""&lt;OFFICER_URL&gt;"",""MASTER FEED!$A:$F""), 3, FALSE()), """")"),"")</f>
        <v/>
      </c>
    </row>
    <row r="9">
      <c r="B9" s="76" t="s">
        <v>1254</v>
      </c>
      <c r="C9" s="77" t="str">
        <f>IFERROR(__xludf.DUMMYFUNCTION("IFERROR(VLOOKUP($R3, importrange(""&lt;OFFICER_URL&gt;"",""MASTER FEED!$A:$F""), 4, FALSE()), """")"),"")</f>
        <v/>
      </c>
    </row>
    <row r="10">
      <c r="B10" s="76" t="s">
        <v>1255</v>
      </c>
      <c r="C10" s="77" t="str">
        <f>IFERROR(__xludf.DUMMYFUNCTION("IFERROR(VLOOKUP($R3, importrange(""&lt;OFFICER_URL&gt;"",""MASTER FEED!$A:$F""), 5, FALSE()), """")"),"")</f>
        <v/>
      </c>
    </row>
    <row r="11">
      <c r="B11" s="76" t="s">
        <v>1256</v>
      </c>
      <c r="C11" s="77" t="str">
        <f>IFERROR(__xludf.DUMMYFUNCTION("IFERROR(VLOOKUP($R3, importrange(""&lt;OFFICER_URL&gt;"",""MASTER FEED!$A:$F""), 6, FALSE()), """")"),"")</f>
        <v/>
      </c>
    </row>
    <row r="13" ht="15.0" customHeight="1">
      <c r="B13" s="78" t="s">
        <v>1257</v>
      </c>
      <c r="C13" s="3"/>
    </row>
    <row r="14">
      <c r="B14" s="10" t="s">
        <v>14</v>
      </c>
      <c r="C14" s="79" t="s">
        <v>1258</v>
      </c>
    </row>
    <row r="15">
      <c r="B15" s="10" t="s">
        <v>15</v>
      </c>
      <c r="C15" s="79" t="s">
        <v>1259</v>
      </c>
    </row>
    <row r="16">
      <c r="B16" s="10" t="s">
        <v>16</v>
      </c>
      <c r="C16" s="79" t="s">
        <v>1260</v>
      </c>
    </row>
    <row r="17">
      <c r="B17" s="10" t="s">
        <v>17</v>
      </c>
      <c r="C17" s="79" t="s">
        <v>1261</v>
      </c>
    </row>
    <row r="18">
      <c r="B18" s="10" t="s">
        <v>18</v>
      </c>
      <c r="C18" s="79" t="s">
        <v>1262</v>
      </c>
    </row>
    <row r="19">
      <c r="B19" s="10" t="s">
        <v>19</v>
      </c>
      <c r="C19" s="79" t="s">
        <v>1263</v>
      </c>
    </row>
    <row r="20">
      <c r="B20" s="10" t="s">
        <v>20</v>
      </c>
      <c r="C20" s="79" t="s">
        <v>1264</v>
      </c>
    </row>
    <row r="21" ht="15.75" customHeight="1">
      <c r="B21" s="10" t="s">
        <v>21</v>
      </c>
      <c r="C21" s="79" t="s">
        <v>1265</v>
      </c>
    </row>
    <row r="22" ht="15.75" customHeight="1">
      <c r="B22" s="10" t="s">
        <v>22</v>
      </c>
      <c r="C22" s="79" t="s">
        <v>1266</v>
      </c>
    </row>
    <row r="23" ht="15.75" customHeight="1">
      <c r="B23" s="10" t="s">
        <v>23</v>
      </c>
      <c r="C23" s="79" t="s">
        <v>1267</v>
      </c>
    </row>
    <row r="24" ht="15.75" customHeight="1">
      <c r="B24" s="10" t="s">
        <v>24</v>
      </c>
      <c r="C24" s="79" t="s">
        <v>1268</v>
      </c>
    </row>
    <row r="25" ht="15.75" customHeight="1">
      <c r="B25" s="10" t="s">
        <v>25</v>
      </c>
      <c r="C25" s="79" t="s">
        <v>1269</v>
      </c>
    </row>
    <row r="26" ht="15.75" customHeight="1">
      <c r="B26" s="10" t="s">
        <v>26</v>
      </c>
      <c r="C26" s="79" t="s">
        <v>1270</v>
      </c>
    </row>
    <row r="27" ht="15.75" customHeight="1">
      <c r="B27" s="10" t="s">
        <v>27</v>
      </c>
      <c r="C27" s="79" t="s">
        <v>1271</v>
      </c>
    </row>
    <row r="28" ht="15.75" customHeight="1">
      <c r="B28" s="10" t="s">
        <v>28</v>
      </c>
      <c r="C28" s="79" t="s">
        <v>1272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7:C7"/>
    <mergeCell ref="B13:C13"/>
  </mergeCells>
  <printOptions/>
  <pageMargins bottom="1.0" footer="0.0" header="0.0" left="0.75" right="0.75" top="1.0"/>
  <pageSetup paperSize="9" orientation="portrait"/>
  <drawing r:id="rId1"/>
</worksheet>
</file>